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slokommune-my.sharepoint.com/personal/anton_eliston_kli_oslo_kommune_no/Documents/"/>
    </mc:Choice>
  </mc:AlternateContent>
  <xr:revisionPtr revIDLastSave="0" documentId="8_{66DB0E7F-A669-4A6F-B942-8A317F701525}" xr6:coauthVersionLast="47" xr6:coauthVersionMax="47" xr10:uidLastSave="{00000000-0000-0000-0000-000000000000}"/>
  <bookViews>
    <workbookView xWindow="-120" yWindow="-120" windowWidth="19440" windowHeight="10320" firstSheet="1" activeTab="1" xr2:uid="{445EF0CB-B945-42A4-804F-D57EA6E3A398}"/>
  </bookViews>
  <sheets>
    <sheet name="Logikk" sheetId="4" r:id="rId1"/>
    <sheet name="Input til modellen" sheetId="2" r:id="rId2"/>
    <sheet name="Energibehov før tiltak" sheetId="6" r:id="rId3"/>
    <sheet name="Regler varmepumper" sheetId="3" r:id="rId4"/>
  </sheets>
  <definedNames>
    <definedName name="_xlnm._FilterDatabase" localSheetId="1" hidden="1">'Input til modellen'!$A$1:$N$91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2" l="1"/>
  <c r="J85" i="2"/>
  <c r="J86" i="2"/>
  <c r="J84" i="2"/>
  <c r="J83" i="2"/>
  <c r="J82" i="2"/>
  <c r="I86" i="2"/>
  <c r="I87" i="2"/>
  <c r="I85" i="2"/>
  <c r="I84" i="2"/>
  <c r="I83" i="2"/>
  <c r="I82" i="2"/>
  <c r="H86" i="2"/>
  <c r="H87" i="2"/>
  <c r="H85" i="2"/>
  <c r="H83" i="2"/>
  <c r="H84" i="2"/>
  <c r="H82" i="2"/>
  <c r="H2" i="2"/>
  <c r="N87" i="2"/>
  <c r="L87" i="2"/>
  <c r="N86" i="2"/>
  <c r="L86" i="2"/>
  <c r="N85" i="2"/>
  <c r="L85" i="2"/>
  <c r="N84" i="2"/>
  <c r="L84" i="2"/>
  <c r="N83" i="2"/>
  <c r="L83" i="2"/>
  <c r="N82" i="2"/>
  <c r="L82" i="2"/>
  <c r="G25" i="4"/>
  <c r="G26" i="4"/>
  <c r="G27" i="4"/>
  <c r="G28" i="4"/>
  <c r="G29" i="4"/>
  <c r="F26" i="4"/>
  <c r="F27" i="4"/>
  <c r="F28" i="4"/>
  <c r="F29" i="4"/>
  <c r="F25" i="4"/>
  <c r="H71" i="2"/>
  <c r="I71" i="2"/>
  <c r="J71" i="2"/>
  <c r="L71" i="2"/>
  <c r="M71" i="2"/>
  <c r="F71" i="2" s="1"/>
  <c r="N71" i="2"/>
  <c r="H72" i="2"/>
  <c r="I72" i="2"/>
  <c r="J72" i="2"/>
  <c r="L72" i="2"/>
  <c r="M72" i="2"/>
  <c r="N72" i="2"/>
  <c r="G72" i="2" s="1"/>
  <c r="H73" i="2"/>
  <c r="I73" i="2"/>
  <c r="J73" i="2"/>
  <c r="L73" i="2"/>
  <c r="M73" i="2"/>
  <c r="N73" i="2"/>
  <c r="H74" i="2"/>
  <c r="I74" i="2"/>
  <c r="J74" i="2"/>
  <c r="M74" i="2"/>
  <c r="N74" i="2"/>
  <c r="H75" i="2"/>
  <c r="I75" i="2"/>
  <c r="J75" i="2"/>
  <c r="L75" i="2"/>
  <c r="M75" i="2"/>
  <c r="F75" i="2" s="1"/>
  <c r="N75" i="2"/>
  <c r="H76" i="2"/>
  <c r="I76" i="2"/>
  <c r="J76" i="2"/>
  <c r="L76" i="2"/>
  <c r="M76" i="2"/>
  <c r="N76" i="2"/>
  <c r="H77" i="2"/>
  <c r="I77" i="2"/>
  <c r="J77" i="2"/>
  <c r="L77" i="2"/>
  <c r="M77" i="2"/>
  <c r="N77" i="2"/>
  <c r="H78" i="2"/>
  <c r="I78" i="2"/>
  <c r="J78" i="2"/>
  <c r="L78" i="2"/>
  <c r="M78" i="2"/>
  <c r="N78" i="2"/>
  <c r="H79" i="2"/>
  <c r="I79" i="2"/>
  <c r="J79" i="2"/>
  <c r="L79" i="2"/>
  <c r="M79" i="2"/>
  <c r="N79" i="2"/>
  <c r="H80" i="2"/>
  <c r="I80" i="2"/>
  <c r="J80" i="2"/>
  <c r="L80" i="2"/>
  <c r="M80" i="2"/>
  <c r="N80" i="2"/>
  <c r="M67" i="2"/>
  <c r="N67" i="2"/>
  <c r="M23" i="2"/>
  <c r="N23" i="2"/>
  <c r="J69" i="2"/>
  <c r="J68" i="2"/>
  <c r="J67" i="2"/>
  <c r="I69" i="2"/>
  <c r="I68" i="2"/>
  <c r="I67" i="2"/>
  <c r="H69" i="2"/>
  <c r="H68" i="2"/>
  <c r="H67" i="2"/>
  <c r="N81" i="2"/>
  <c r="M81" i="2"/>
  <c r="J81" i="2"/>
  <c r="I81" i="2"/>
  <c r="H81" i="2"/>
  <c r="L81" i="2" s="1"/>
  <c r="N65" i="2"/>
  <c r="N64" i="2"/>
  <c r="N63" i="2"/>
  <c r="M65" i="2"/>
  <c r="M64" i="2"/>
  <c r="M63" i="2"/>
  <c r="L65" i="2"/>
  <c r="L64" i="2"/>
  <c r="L63" i="2"/>
  <c r="N49" i="2"/>
  <c r="N48" i="2"/>
  <c r="N47" i="2"/>
  <c r="M49" i="2"/>
  <c r="M48" i="2"/>
  <c r="M47" i="2"/>
  <c r="L49" i="2"/>
  <c r="L48" i="2"/>
  <c r="L47" i="2"/>
  <c r="N33" i="2"/>
  <c r="N32" i="2"/>
  <c r="N31" i="2"/>
  <c r="M33" i="2"/>
  <c r="M32" i="2"/>
  <c r="M31" i="2"/>
  <c r="L33" i="2"/>
  <c r="L32" i="2"/>
  <c r="L31" i="2"/>
  <c r="M55" i="2"/>
  <c r="M41" i="2"/>
  <c r="M24" i="2"/>
  <c r="J14" i="3"/>
  <c r="K14" i="3"/>
  <c r="L14" i="3"/>
  <c r="J15" i="3"/>
  <c r="K15" i="3"/>
  <c r="L15" i="3"/>
  <c r="J16" i="3"/>
  <c r="K16" i="3"/>
  <c r="L16" i="3"/>
  <c r="J17" i="3"/>
  <c r="K17" i="3"/>
  <c r="L17" i="3"/>
  <c r="J24" i="3"/>
  <c r="K24" i="3"/>
  <c r="L24" i="3"/>
  <c r="J25" i="3"/>
  <c r="K25" i="3"/>
  <c r="L25" i="3"/>
  <c r="J26" i="3"/>
  <c r="K26" i="3"/>
  <c r="L26" i="3"/>
  <c r="J27" i="3"/>
  <c r="K27" i="3"/>
  <c r="L27" i="3"/>
  <c r="J28" i="3"/>
  <c r="K28" i="3"/>
  <c r="L28" i="3"/>
  <c r="J29" i="3"/>
  <c r="K29" i="3"/>
  <c r="L29" i="3"/>
  <c r="J30" i="3"/>
  <c r="K30" i="3"/>
  <c r="L30" i="3"/>
  <c r="J31" i="3"/>
  <c r="K31" i="3"/>
  <c r="L31" i="3"/>
  <c r="J32" i="3"/>
  <c r="K32" i="3"/>
  <c r="L32" i="3"/>
  <c r="G24" i="3"/>
  <c r="L67" i="2" s="1"/>
  <c r="M24" i="3"/>
  <c r="H24" i="3"/>
  <c r="N24" i="3"/>
  <c r="G25" i="3"/>
  <c r="M25" i="3"/>
  <c r="H25" i="3"/>
  <c r="N25" i="3"/>
  <c r="G26" i="3"/>
  <c r="M26" i="3"/>
  <c r="H26" i="3"/>
  <c r="N26" i="3"/>
  <c r="G27" i="3"/>
  <c r="L68" i="2" s="1"/>
  <c r="M27" i="3"/>
  <c r="H27" i="3"/>
  <c r="N27" i="3"/>
  <c r="G28" i="3"/>
  <c r="M68" i="2" s="1"/>
  <c r="M28" i="3"/>
  <c r="H28" i="3"/>
  <c r="N28" i="3"/>
  <c r="G29" i="3"/>
  <c r="N68" i="2" s="1"/>
  <c r="M29" i="3"/>
  <c r="H29" i="3"/>
  <c r="N29" i="3"/>
  <c r="G30" i="3"/>
  <c r="L69" i="2" s="1"/>
  <c r="M30" i="3"/>
  <c r="H30" i="3"/>
  <c r="N30" i="3"/>
  <c r="G31" i="3"/>
  <c r="M69" i="2" s="1"/>
  <c r="F69" i="2" s="1"/>
  <c r="M31" i="3"/>
  <c r="H31" i="3"/>
  <c r="N31" i="3"/>
  <c r="G32" i="3"/>
  <c r="N69" i="2" s="1"/>
  <c r="M32" i="3"/>
  <c r="H32" i="3"/>
  <c r="N32" i="3"/>
  <c r="G15" i="3"/>
  <c r="M15" i="3"/>
  <c r="H15" i="3"/>
  <c r="N15" i="3"/>
  <c r="G16" i="3"/>
  <c r="M16" i="3"/>
  <c r="H16" i="3"/>
  <c r="N16" i="3"/>
  <c r="G17" i="3"/>
  <c r="M17" i="3"/>
  <c r="H17" i="3"/>
  <c r="N17" i="3"/>
  <c r="N14" i="3"/>
  <c r="H14" i="3"/>
  <c r="G14" i="3"/>
  <c r="M14" i="3"/>
  <c r="J9" i="2"/>
  <c r="J8" i="2"/>
  <c r="J7" i="2"/>
  <c r="J6" i="2"/>
  <c r="J5" i="2"/>
  <c r="J4" i="2"/>
  <c r="J3" i="2"/>
  <c r="J2" i="2"/>
  <c r="J41" i="2"/>
  <c r="I41" i="2"/>
  <c r="H41" i="2"/>
  <c r="J39" i="2"/>
  <c r="I39" i="2"/>
  <c r="H39" i="2"/>
  <c r="J38" i="2"/>
  <c r="I38" i="2"/>
  <c r="H38" i="2"/>
  <c r="J37" i="2"/>
  <c r="I37" i="2"/>
  <c r="H37" i="2"/>
  <c r="L37" i="2" s="1"/>
  <c r="J36" i="2"/>
  <c r="I36" i="2"/>
  <c r="H36" i="2"/>
  <c r="L36" i="2" s="1"/>
  <c r="J35" i="2"/>
  <c r="I35" i="2"/>
  <c r="H35" i="2"/>
  <c r="L35" i="2" s="1"/>
  <c r="J34" i="2"/>
  <c r="I34" i="2"/>
  <c r="H34" i="2"/>
  <c r="L34" i="2" s="1"/>
  <c r="J25" i="2"/>
  <c r="I25" i="2"/>
  <c r="H25" i="2"/>
  <c r="J24" i="2"/>
  <c r="I24" i="2"/>
  <c r="H24" i="2"/>
  <c r="J23" i="2"/>
  <c r="I23" i="2"/>
  <c r="F23" i="2" s="1"/>
  <c r="H23" i="2"/>
  <c r="J22" i="2"/>
  <c r="I22" i="2"/>
  <c r="H22" i="2"/>
  <c r="J21" i="2"/>
  <c r="I21" i="2"/>
  <c r="H21" i="2"/>
  <c r="L21" i="2" s="1"/>
  <c r="J20" i="2"/>
  <c r="I20" i="2"/>
  <c r="H20" i="2"/>
  <c r="L20" i="2" s="1"/>
  <c r="J19" i="2"/>
  <c r="I19" i="2"/>
  <c r="H19" i="2"/>
  <c r="L19" i="2" s="1"/>
  <c r="J18" i="2"/>
  <c r="I18" i="2"/>
  <c r="H18" i="2"/>
  <c r="L18" i="2" s="1"/>
  <c r="H66" i="2"/>
  <c r="I66" i="2"/>
  <c r="J66" i="2"/>
  <c r="H70" i="2"/>
  <c r="L70" i="2" s="1"/>
  <c r="I70" i="2"/>
  <c r="J70" i="2"/>
  <c r="H51" i="2"/>
  <c r="L51" i="2" s="1"/>
  <c r="I51" i="2"/>
  <c r="J51" i="2"/>
  <c r="H52" i="2"/>
  <c r="L52" i="2" s="1"/>
  <c r="I52" i="2"/>
  <c r="J52" i="2"/>
  <c r="H53" i="2"/>
  <c r="L53" i="2" s="1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J50" i="2"/>
  <c r="I50" i="2"/>
  <c r="H50" i="2"/>
  <c r="L50" i="2" s="1"/>
  <c r="H58" i="2"/>
  <c r="L58" i="2" s="1"/>
  <c r="I58" i="2"/>
  <c r="J58" i="2"/>
  <c r="H59" i="2"/>
  <c r="L59" i="2" s="1"/>
  <c r="I59" i="2"/>
  <c r="J59" i="2"/>
  <c r="H60" i="2"/>
  <c r="L60" i="2" s="1"/>
  <c r="I60" i="2"/>
  <c r="J60" i="2"/>
  <c r="H61" i="2"/>
  <c r="L61" i="2" s="1"/>
  <c r="I61" i="2"/>
  <c r="J61" i="2"/>
  <c r="H62" i="2"/>
  <c r="L62" i="2" s="1"/>
  <c r="I62" i="2"/>
  <c r="J62" i="2"/>
  <c r="H63" i="2"/>
  <c r="I63" i="2"/>
  <c r="J63" i="2"/>
  <c r="H64" i="2"/>
  <c r="I64" i="2"/>
  <c r="J64" i="2"/>
  <c r="H65" i="2"/>
  <c r="I65" i="2"/>
  <c r="J65" i="2"/>
  <c r="H40" i="2"/>
  <c r="I40" i="2"/>
  <c r="J40" i="2"/>
  <c r="H42" i="2"/>
  <c r="L42" i="2" s="1"/>
  <c r="I42" i="2"/>
  <c r="J42" i="2"/>
  <c r="H43" i="2"/>
  <c r="L43" i="2" s="1"/>
  <c r="I43" i="2"/>
  <c r="J43" i="2"/>
  <c r="H44" i="2"/>
  <c r="L44" i="2" s="1"/>
  <c r="I44" i="2"/>
  <c r="J44" i="2"/>
  <c r="H45" i="2"/>
  <c r="L45" i="2" s="1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26" i="2"/>
  <c r="L26" i="2" s="1"/>
  <c r="I26" i="2"/>
  <c r="J26" i="2"/>
  <c r="H27" i="2"/>
  <c r="L27" i="2" s="1"/>
  <c r="I27" i="2"/>
  <c r="J27" i="2"/>
  <c r="H28" i="2"/>
  <c r="L28" i="2" s="1"/>
  <c r="I28" i="2"/>
  <c r="J28" i="2"/>
  <c r="H29" i="2"/>
  <c r="L29" i="2" s="1"/>
  <c r="I29" i="2"/>
  <c r="J29" i="2"/>
  <c r="H30" i="2"/>
  <c r="L30" i="2" s="1"/>
  <c r="I30" i="2"/>
  <c r="J30" i="2"/>
  <c r="H31" i="2"/>
  <c r="I31" i="2"/>
  <c r="J31" i="2"/>
  <c r="H32" i="2"/>
  <c r="I32" i="2"/>
  <c r="J32" i="2"/>
  <c r="H33" i="2"/>
  <c r="I33" i="2"/>
  <c r="J33" i="2"/>
  <c r="J11" i="2"/>
  <c r="J12" i="2"/>
  <c r="J13" i="2"/>
  <c r="J14" i="2"/>
  <c r="J15" i="2"/>
  <c r="J16" i="2"/>
  <c r="J17" i="2"/>
  <c r="J10" i="2"/>
  <c r="I11" i="2"/>
  <c r="I12" i="2"/>
  <c r="I13" i="2"/>
  <c r="I14" i="2"/>
  <c r="I15" i="2"/>
  <c r="I16" i="2"/>
  <c r="I17" i="2"/>
  <c r="I10" i="2"/>
  <c r="H11" i="2"/>
  <c r="K11" i="2" s="1"/>
  <c r="H12" i="2"/>
  <c r="L12" i="2" s="1"/>
  <c r="H13" i="2"/>
  <c r="L13" i="2" s="1"/>
  <c r="H14" i="2"/>
  <c r="H15" i="2"/>
  <c r="H16" i="2"/>
  <c r="H17" i="2"/>
  <c r="H10" i="2"/>
  <c r="L10" i="2" s="1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I24" i="3"/>
  <c r="L15" i="2" s="1"/>
  <c r="D24" i="3"/>
  <c r="L23" i="2" s="1"/>
  <c r="E24" i="3"/>
  <c r="L39" i="2" s="1"/>
  <c r="E39" i="2" s="1"/>
  <c r="F24" i="3"/>
  <c r="L55" i="2" s="1"/>
  <c r="E55" i="2" s="1"/>
  <c r="I25" i="3"/>
  <c r="M15" i="2" s="1"/>
  <c r="D25" i="3"/>
  <c r="E25" i="3"/>
  <c r="M39" i="2" s="1"/>
  <c r="F25" i="3"/>
  <c r="I26" i="3"/>
  <c r="N15" i="2" s="1"/>
  <c r="D26" i="3"/>
  <c r="E26" i="3"/>
  <c r="N39" i="2" s="1"/>
  <c r="F26" i="3"/>
  <c r="N55" i="2" s="1"/>
  <c r="G55" i="2" s="1"/>
  <c r="I27" i="3"/>
  <c r="L16" i="2" s="1"/>
  <c r="D27" i="3"/>
  <c r="L24" i="2" s="1"/>
  <c r="E24" i="2" s="1"/>
  <c r="E27" i="3"/>
  <c r="L40" i="2" s="1"/>
  <c r="F27" i="3"/>
  <c r="L56" i="2" s="1"/>
  <c r="I28" i="3"/>
  <c r="M16" i="2" s="1"/>
  <c r="D28" i="3"/>
  <c r="E28" i="3"/>
  <c r="M40" i="2" s="1"/>
  <c r="F28" i="3"/>
  <c r="M56" i="2" s="1"/>
  <c r="I29" i="3"/>
  <c r="N16" i="2" s="1"/>
  <c r="D29" i="3"/>
  <c r="N24" i="2" s="1"/>
  <c r="G24" i="2" s="1"/>
  <c r="E29" i="3"/>
  <c r="N40" i="2" s="1"/>
  <c r="F29" i="3"/>
  <c r="N56" i="2" s="1"/>
  <c r="G56" i="2" s="1"/>
  <c r="I30" i="3"/>
  <c r="L17" i="2" s="1"/>
  <c r="D30" i="3"/>
  <c r="L25" i="2" s="1"/>
  <c r="E30" i="3"/>
  <c r="L41" i="2" s="1"/>
  <c r="F30" i="3"/>
  <c r="L57" i="2" s="1"/>
  <c r="I31" i="3"/>
  <c r="M17" i="2" s="1"/>
  <c r="D31" i="3"/>
  <c r="M25" i="2" s="1"/>
  <c r="E31" i="3"/>
  <c r="F31" i="3"/>
  <c r="M57" i="2" s="1"/>
  <c r="I32" i="3"/>
  <c r="N17" i="2" s="1"/>
  <c r="D32" i="3"/>
  <c r="N25" i="2" s="1"/>
  <c r="G25" i="2" s="1"/>
  <c r="E32" i="3"/>
  <c r="N41" i="2" s="1"/>
  <c r="F32" i="3"/>
  <c r="N57" i="2" s="1"/>
  <c r="G57" i="2" s="1"/>
  <c r="C32" i="3"/>
  <c r="N9" i="2" s="1"/>
  <c r="G9" i="2" s="1"/>
  <c r="C31" i="3"/>
  <c r="M9" i="2" s="1"/>
  <c r="F9" i="2" s="1"/>
  <c r="C30" i="3"/>
  <c r="L9" i="2" s="1"/>
  <c r="C29" i="3"/>
  <c r="N8" i="2" s="1"/>
  <c r="G31" i="4" s="1"/>
  <c r="C28" i="3"/>
  <c r="M8" i="2" s="1"/>
  <c r="F31" i="4" s="1"/>
  <c r="C27" i="3"/>
  <c r="L8" i="2" s="1"/>
  <c r="E31" i="4" s="1"/>
  <c r="C26" i="3"/>
  <c r="N7" i="2" s="1"/>
  <c r="G30" i="4" s="1"/>
  <c r="C25" i="3"/>
  <c r="M7" i="2" s="1"/>
  <c r="F30" i="4" s="1"/>
  <c r="C24" i="3"/>
  <c r="L7" i="2" s="1"/>
  <c r="I15" i="3"/>
  <c r="D15" i="3"/>
  <c r="E15" i="3"/>
  <c r="F15" i="3"/>
  <c r="I16" i="3"/>
  <c r="D16" i="3"/>
  <c r="E16" i="3"/>
  <c r="F16" i="3"/>
  <c r="I17" i="3"/>
  <c r="D17" i="3"/>
  <c r="E17" i="3"/>
  <c r="F17" i="3"/>
  <c r="C17" i="3"/>
  <c r="C15" i="3"/>
  <c r="C16" i="3"/>
  <c r="L74" i="2" l="1"/>
  <c r="L66" i="2"/>
  <c r="L54" i="2"/>
  <c r="L46" i="2"/>
  <c r="L38" i="2"/>
  <c r="L22" i="2"/>
  <c r="L14" i="2"/>
  <c r="K83" i="2"/>
  <c r="E9" i="2"/>
  <c r="E75" i="2"/>
  <c r="E7" i="2"/>
  <c r="F17" i="2"/>
  <c r="F15" i="2"/>
  <c r="K82" i="2"/>
  <c r="F40" i="2"/>
  <c r="K15" i="2"/>
  <c r="G17" i="2"/>
  <c r="E17" i="2"/>
  <c r="G79" i="2"/>
  <c r="E78" i="2"/>
  <c r="G75" i="2"/>
  <c r="K85" i="2"/>
  <c r="E30" i="4"/>
  <c r="G41" i="2"/>
  <c r="K87" i="2"/>
  <c r="K86" i="2"/>
  <c r="F79" i="2"/>
  <c r="E71" i="2"/>
  <c r="G32" i="4"/>
  <c r="K84" i="2"/>
  <c r="E32" i="4"/>
  <c r="F32" i="4"/>
  <c r="F33" i="4" s="1"/>
  <c r="G7" i="2"/>
  <c r="E41" i="2"/>
  <c r="G68" i="2"/>
  <c r="F72" i="2"/>
  <c r="K77" i="2"/>
  <c r="G39" i="2"/>
  <c r="E76" i="2"/>
  <c r="E72" i="2"/>
  <c r="G8" i="2"/>
  <c r="E56" i="2"/>
  <c r="F77" i="2"/>
  <c r="E73" i="2"/>
  <c r="F7" i="2"/>
  <c r="G15" i="2"/>
  <c r="E15" i="2"/>
  <c r="F73" i="2"/>
  <c r="G69" i="2"/>
  <c r="F68" i="2"/>
  <c r="E67" i="2"/>
  <c r="E77" i="2"/>
  <c r="G80" i="2"/>
  <c r="K76" i="2"/>
  <c r="F80" i="2"/>
  <c r="G78" i="2"/>
  <c r="G73" i="2"/>
  <c r="G71" i="2"/>
  <c r="E80" i="2"/>
  <c r="E79" i="2"/>
  <c r="F78" i="2"/>
  <c r="G77" i="2"/>
  <c r="G76" i="2"/>
  <c r="F76" i="2"/>
  <c r="K80" i="2"/>
  <c r="K73" i="2"/>
  <c r="K78" i="2"/>
  <c r="K74" i="2"/>
  <c r="K71" i="2"/>
  <c r="K79" i="2"/>
  <c r="K75" i="2"/>
  <c r="K72" i="2"/>
  <c r="G40" i="2"/>
  <c r="F57" i="2"/>
  <c r="F25" i="2"/>
  <c r="E69" i="2"/>
  <c r="F24" i="2"/>
  <c r="F33" i="2"/>
  <c r="F48" i="2"/>
  <c r="E57" i="2"/>
  <c r="E25" i="2"/>
  <c r="E68" i="2"/>
  <c r="G16" i="2"/>
  <c r="E16" i="2"/>
  <c r="F56" i="2"/>
  <c r="F55" i="2"/>
  <c r="G32" i="2"/>
  <c r="G47" i="2"/>
  <c r="F65" i="2"/>
  <c r="E31" i="2"/>
  <c r="G33" i="2"/>
  <c r="G48" i="2"/>
  <c r="G63" i="2"/>
  <c r="F63" i="2"/>
  <c r="E8" i="2"/>
  <c r="E32" i="2"/>
  <c r="E47" i="2"/>
  <c r="G49" i="2"/>
  <c r="G64" i="2"/>
  <c r="G23" i="2"/>
  <c r="F8" i="2"/>
  <c r="F16" i="2"/>
  <c r="E33" i="2"/>
  <c r="E48" i="2"/>
  <c r="E63" i="2"/>
  <c r="G65" i="2"/>
  <c r="F31" i="2"/>
  <c r="E49" i="2"/>
  <c r="E64" i="2"/>
  <c r="G67" i="2"/>
  <c r="E40" i="2"/>
  <c r="F39" i="2"/>
  <c r="F32" i="2"/>
  <c r="F47" i="2"/>
  <c r="E65" i="2"/>
  <c r="F67" i="2"/>
  <c r="G31" i="2"/>
  <c r="F49" i="2"/>
  <c r="L11" i="2"/>
  <c r="E23" i="2"/>
  <c r="F41" i="2"/>
  <c r="F64" i="2"/>
  <c r="L2" i="2"/>
  <c r="K81" i="2"/>
  <c r="K14" i="2"/>
  <c r="L3" i="2"/>
  <c r="E26" i="4" s="1"/>
  <c r="L4" i="2"/>
  <c r="E27" i="4" s="1"/>
  <c r="L6" i="2"/>
  <c r="E29" i="4" s="1"/>
  <c r="L5" i="2"/>
  <c r="E28" i="4" s="1"/>
  <c r="K5" i="2"/>
  <c r="K24" i="2"/>
  <c r="K7" i="2"/>
  <c r="K37" i="2"/>
  <c r="K21" i="2"/>
  <c r="K52" i="2"/>
  <c r="K64" i="2"/>
  <c r="K35" i="2"/>
  <c r="K47" i="2"/>
  <c r="K44" i="2"/>
  <c r="K32" i="2"/>
  <c r="K60" i="2"/>
  <c r="K68" i="2"/>
  <c r="K26" i="2"/>
  <c r="K48" i="2"/>
  <c r="K55" i="2"/>
  <c r="K22" i="2"/>
  <c r="K25" i="2"/>
  <c r="K31" i="2"/>
  <c r="K45" i="2"/>
  <c r="K53" i="2"/>
  <c r="K28" i="2"/>
  <c r="K42" i="2"/>
  <c r="K62" i="2"/>
  <c r="K33" i="2"/>
  <c r="K70" i="2"/>
  <c r="K67" i="2"/>
  <c r="K30" i="2"/>
  <c r="K29" i="2"/>
  <c r="K27" i="2"/>
  <c r="K49" i="2"/>
  <c r="K43" i="2"/>
  <c r="K63" i="2"/>
  <c r="K69" i="2"/>
  <c r="K46" i="2"/>
  <c r="K66" i="2"/>
  <c r="K61" i="2"/>
  <c r="K56" i="2"/>
  <c r="K13" i="2"/>
  <c r="K65" i="2"/>
  <c r="K58" i="2"/>
  <c r="K19" i="2"/>
  <c r="K12" i="2"/>
  <c r="K38" i="2"/>
  <c r="K41" i="2"/>
  <c r="K57" i="2"/>
  <c r="K54" i="2"/>
  <c r="K3" i="2"/>
  <c r="K20" i="2"/>
  <c r="K23" i="2"/>
  <c r="K36" i="2"/>
  <c r="K39" i="2"/>
  <c r="K16" i="2"/>
  <c r="K40" i="2"/>
  <c r="K59" i="2"/>
  <c r="J18" i="3"/>
  <c r="J21" i="3" s="1"/>
  <c r="L18" i="3"/>
  <c r="L21" i="3" s="1"/>
  <c r="K18" i="3"/>
  <c r="K21" i="3" s="1"/>
  <c r="H18" i="3"/>
  <c r="H19" i="3" s="1"/>
  <c r="N18" i="3"/>
  <c r="N20" i="3" s="1"/>
  <c r="M18" i="3"/>
  <c r="M20" i="3" s="1"/>
  <c r="G18" i="3"/>
  <c r="G20" i="3" s="1"/>
  <c r="K9" i="2"/>
  <c r="K8" i="2"/>
  <c r="K51" i="2"/>
  <c r="K50" i="2"/>
  <c r="K34" i="2"/>
  <c r="K17" i="2"/>
  <c r="K6" i="2"/>
  <c r="K4" i="2"/>
  <c r="K10" i="2"/>
  <c r="C18" i="3"/>
  <c r="C19" i="3" s="1"/>
  <c r="I18" i="3"/>
  <c r="I20" i="3" s="1"/>
  <c r="D18" i="3"/>
  <c r="D20" i="3" s="1"/>
  <c r="F18" i="3"/>
  <c r="F21" i="3" s="1"/>
  <c r="E18" i="3"/>
  <c r="E21" i="3" s="1"/>
  <c r="F14" i="3"/>
  <c r="E14" i="3"/>
  <c r="D14" i="3"/>
  <c r="I14" i="3"/>
  <c r="C14" i="3"/>
  <c r="K18" i="2"/>
  <c r="K2" i="2"/>
  <c r="E25" i="4" l="1"/>
  <c r="E33" i="4" s="1"/>
  <c r="G33" i="4"/>
  <c r="J20" i="3"/>
  <c r="J19" i="3"/>
  <c r="L19" i="3"/>
  <c r="L20" i="3"/>
  <c r="K19" i="3"/>
  <c r="K20" i="3"/>
  <c r="H21" i="3"/>
  <c r="C20" i="3"/>
  <c r="C21" i="3"/>
  <c r="H20" i="3"/>
  <c r="N19" i="3"/>
  <c r="N21" i="3"/>
  <c r="M21" i="3"/>
  <c r="M19" i="3"/>
  <c r="G19" i="3"/>
  <c r="G21" i="3"/>
  <c r="F19" i="3"/>
  <c r="I21" i="3"/>
  <c r="I19" i="3"/>
  <c r="D21" i="3"/>
  <c r="D19" i="3"/>
  <c r="E20" i="3"/>
  <c r="F20" i="3"/>
  <c r="E19" i="3"/>
  <c r="H33" i="4" l="1"/>
  <c r="J22" i="3"/>
  <c r="L22" i="3"/>
  <c r="K22" i="3"/>
  <c r="M22" i="3"/>
  <c r="H22" i="3"/>
  <c r="F22" i="3"/>
  <c r="N22" i="3"/>
  <c r="G22" i="3"/>
  <c r="E22" i="3"/>
  <c r="D22" i="3"/>
  <c r="C22" i="3"/>
  <c r="I22" i="3"/>
</calcChain>
</file>

<file path=xl/sharedStrings.xml><?xml version="1.0" encoding="utf-8"?>
<sst xmlns="http://schemas.openxmlformats.org/spreadsheetml/2006/main" count="436" uniqueCount="66">
  <si>
    <r>
      <rPr>
        <b/>
        <sz val="11"/>
        <color theme="1"/>
        <rFont val="Aptos Narrow"/>
        <family val="2"/>
        <scheme val="minor"/>
      </rPr>
      <t>Logikk på hvordan regne flere tiltak:</t>
    </r>
    <r>
      <rPr>
        <sz val="11"/>
        <color theme="1"/>
        <rFont val="Aptos Narrow"/>
        <family val="2"/>
        <scheme val="minor"/>
      </rPr>
      <t xml:space="preserve">
for å finne effekten av flere tiltak (feks tiltak x og y): 
</t>
    </r>
    <r>
      <rPr>
        <b/>
        <sz val="11"/>
        <color theme="1"/>
        <rFont val="Aptos Narrow"/>
        <family val="2"/>
        <scheme val="minor"/>
      </rPr>
      <t xml:space="preserve">romoppvarming:
</t>
    </r>
    <r>
      <rPr>
        <sz val="11"/>
        <color theme="1"/>
        <rFont val="Aptos Narrow"/>
        <family val="2"/>
        <scheme val="minor"/>
      </rPr>
      <t xml:space="preserve">(romoppvarmingsbehov for aktuelt bygg)*(tiltak x kolonne H)*(tiltak y kolonne H) = levert strøm til romoppvarming ved tiltak x og y
for å finne effekten av enda flere tiltak (feks tiltak x og y og z): 
romoppvarmingsbehov*(tiltak x kolonne H)*(tiltak y kolonne H)*(tiltak z kolonne H)  = levert strøm til romoppvarming ved tiltak x, y og z
</t>
    </r>
    <r>
      <rPr>
        <b/>
        <sz val="11"/>
        <color theme="1"/>
        <rFont val="Aptos Narrow"/>
        <family val="2"/>
        <scheme val="minor"/>
      </rPr>
      <t xml:space="preserve">Tappevann:
</t>
    </r>
    <r>
      <rPr>
        <sz val="11"/>
        <color theme="1"/>
        <rFont val="Aptos Narrow"/>
        <family val="2"/>
        <scheme val="minor"/>
      </rPr>
      <t xml:space="preserve">Akkurat det samme som for romoppvarming, bare start med tappevannsbehov og bytt med kolonne H med I
</t>
    </r>
    <r>
      <rPr>
        <b/>
        <sz val="11"/>
        <color theme="1"/>
        <rFont val="Aptos Narrow"/>
        <family val="2"/>
        <scheme val="minor"/>
      </rPr>
      <t>Elspesifit</t>
    </r>
    <r>
      <rPr>
        <sz val="11"/>
        <color theme="1"/>
        <rFont val="Aptos Narrow"/>
        <family val="2"/>
        <scheme val="minor"/>
      </rPr>
      <t xml:space="preserve">:
Akkurat det samme som for romoppvarming,  bare start med elspesifikt og bytt med kolonne H med J
Til slutt kan man summere opp alle levert strøm. Altså til romoppvarming, tappevann og elspesifikt for å finn hva energibruken er etter at man har gjennomført tiltak
</t>
    </r>
  </si>
  <si>
    <t>Romoppvarming</t>
  </si>
  <si>
    <t>Tappevann</t>
  </si>
  <si>
    <t>Elspesifikt</t>
  </si>
  <si>
    <t>Småhus</t>
  </si>
  <si>
    <t>TEK69</t>
  </si>
  <si>
    <t>Etterisolering yttervegg</t>
  </si>
  <si>
    <t>Etterisolering av kjeller og loft</t>
  </si>
  <si>
    <t>Oppgradering av vinduer gul liste</t>
  </si>
  <si>
    <t>Oppgradering av vinduer standard</t>
  </si>
  <si>
    <t>Temperaturstyring</t>
  </si>
  <si>
    <t>Luft-luft varmepumpe</t>
  </si>
  <si>
    <t>Luft-væske varmepumpe</t>
  </si>
  <si>
    <t>Væske-væske varmepumpe</t>
  </si>
  <si>
    <t>bygningskategori</t>
  </si>
  <si>
    <t>Teknisk forskrift</t>
  </si>
  <si>
    <t>Titlak</t>
  </si>
  <si>
    <t>Påvirker energimerket</t>
  </si>
  <si>
    <t>Besparelse per tiltak - Romoppvarming</t>
  </si>
  <si>
    <t>Besparelse per tiltak - Tappevann</t>
  </si>
  <si>
    <t>Besparelse per tiltak - Elspesifikt</t>
  </si>
  <si>
    <t>Romoppvarmingsbehov (kWh/m2/år)</t>
  </si>
  <si>
    <t>Tappevannsbehov (kWh/m2/år)</t>
  </si>
  <si>
    <t>Elspesifikt behov (kWh/m2/år)</t>
  </si>
  <si>
    <t>Total energibruk før tiltak</t>
  </si>
  <si>
    <t>Energibruk til romoppvarming etter tiltak</t>
  </si>
  <si>
    <t>Energibruk til tappevann etter tiltak</t>
  </si>
  <si>
    <t>Energibruk til elspesifikt etter tiltak</t>
  </si>
  <si>
    <t>Boligblokk</t>
  </si>
  <si>
    <t>TEK87</t>
  </si>
  <si>
    <t>TEK97</t>
  </si>
  <si>
    <t>TEK07</t>
  </si>
  <si>
    <t>TEK17</t>
  </si>
  <si>
    <t>TEK10</t>
  </si>
  <si>
    <t>Ventilasjonsgjenvinning</t>
  </si>
  <si>
    <t>Multiconsult</t>
  </si>
  <si>
    <t>TEk10</t>
  </si>
  <si>
    <t>Forbruk før enøk</t>
  </si>
  <si>
    <t>[kWh/m²]</t>
  </si>
  <si>
    <t xml:space="preserve">Romoppvarming                       </t>
  </si>
  <si>
    <t xml:space="preserve">Ventilasjonsvarme (varmebatterier)  </t>
  </si>
  <si>
    <t xml:space="preserve">Oppvarming av tappevann             </t>
  </si>
  <si>
    <t xml:space="preserve">Vifter (ventilasjon)                </t>
  </si>
  <si>
    <t xml:space="preserve">Pumper                              </t>
  </si>
  <si>
    <t xml:space="preserve">Belysning                           </t>
  </si>
  <si>
    <t xml:space="preserve">Teknisk utstyr                      </t>
  </si>
  <si>
    <t xml:space="preserve">Romkjøling                          </t>
  </si>
  <si>
    <t>Ventilasjonskjøling (kjølebatterier)</t>
  </si>
  <si>
    <t xml:space="preserve">Total                               </t>
  </si>
  <si>
    <t>TEK 69</t>
  </si>
  <si>
    <t>TEK 87</t>
  </si>
  <si>
    <t>TEK 97</t>
  </si>
  <si>
    <t>TEK 07</t>
  </si>
  <si>
    <t>TEK 10</t>
  </si>
  <si>
    <t>TEK 17</t>
  </si>
  <si>
    <t>kWh/år</t>
  </si>
  <si>
    <t>Sjekk</t>
  </si>
  <si>
    <t>Luft - luft</t>
  </si>
  <si>
    <t>Væske - luft</t>
  </si>
  <si>
    <t>Væske - væske</t>
  </si>
  <si>
    <t>Virkningsgrad luft-luft</t>
  </si>
  <si>
    <t xml:space="preserve">Dekningsgrad luft-luft </t>
  </si>
  <si>
    <t xml:space="preserve">Virkningsgrad luft-væske </t>
  </si>
  <si>
    <t xml:space="preserve">Dekningsgrad luft-væske </t>
  </si>
  <si>
    <t xml:space="preserve">Virkningsgrad væske-væske </t>
  </si>
  <si>
    <t>Dekningsgrad væske-væske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</si>
</sst>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#,##0.0"/>
    <numFmt numFmtId="167" formatCode="_ * #,##0.0_ ;_ * \-#,##0.0_ ;_ * &quot;-&quot;??_ ;_ @_ "/>
    <numFmt numFmtId="168" formatCode="0.0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</font>
    <font>
      <sz val="11"/>
      <color theme="1"/>
      <name val="Aptos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rgb="FFFFFFFF"/>
      </patternFill>
    </fill>
    <fill>
      <patternFill patternType="solid">
        <fgColor rgb="FF83E28E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DAE9F8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4">
    <xf numFmtId="0" fontId="0" fillId="0" borderId="0" xfId="0"/>
    <xf numFmtId="9" fontId="0" fillId="0" borderId="0" xfId="0" applyNumberFormat="1"/>
    <xf numFmtId="0" fontId="20" fillId="34" borderId="10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9" fontId="0" fillId="0" borderId="0" xfId="2" applyFont="1"/>
    <xf numFmtId="0" fontId="0" fillId="0" borderId="16" xfId="0" applyBorder="1"/>
    <xf numFmtId="9" fontId="0" fillId="0" borderId="17" xfId="0" applyNumberFormat="1" applyBorder="1"/>
    <xf numFmtId="0" fontId="0" fillId="0" borderId="18" xfId="0" applyBorder="1"/>
    <xf numFmtId="9" fontId="0" fillId="0" borderId="19" xfId="0" applyNumberFormat="1" applyBorder="1"/>
    <xf numFmtId="9" fontId="0" fillId="0" borderId="20" xfId="0" applyNumberFormat="1" applyBorder="1"/>
    <xf numFmtId="0" fontId="0" fillId="0" borderId="14" xfId="0" applyBorder="1"/>
    <xf numFmtId="0" fontId="0" fillId="0" borderId="15" xfId="0" applyBorder="1"/>
    <xf numFmtId="9" fontId="0" fillId="0" borderId="23" xfId="0" applyNumberFormat="1" applyBorder="1"/>
    <xf numFmtId="9" fontId="0" fillId="0" borderId="24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0" fontId="0" fillId="0" borderId="26" xfId="0" applyBorder="1"/>
    <xf numFmtId="0" fontId="0" fillId="0" borderId="27" xfId="0" applyBorder="1"/>
    <xf numFmtId="165" fontId="0" fillId="0" borderId="0" xfId="0" applyNumberFormat="1"/>
    <xf numFmtId="0" fontId="0" fillId="0" borderId="13" xfId="0" applyBorder="1"/>
    <xf numFmtId="0" fontId="0" fillId="0" borderId="17" xfId="0" applyBorder="1"/>
    <xf numFmtId="9" fontId="0" fillId="0" borderId="16" xfId="0" applyNumberFormat="1" applyBorder="1"/>
    <xf numFmtId="9" fontId="0" fillId="0" borderId="18" xfId="0" applyNumberFormat="1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9" fontId="0" fillId="36" borderId="0" xfId="0" applyNumberFormat="1" applyFill="1"/>
    <xf numFmtId="0" fontId="0" fillId="37" borderId="0" xfId="0" applyFill="1"/>
    <xf numFmtId="0" fontId="0" fillId="38" borderId="0" xfId="0" applyFill="1"/>
    <xf numFmtId="0" fontId="16" fillId="38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39" borderId="0" xfId="0" applyFont="1" applyFill="1" applyAlignment="1">
      <alignment wrapText="1"/>
    </xf>
    <xf numFmtId="0" fontId="0" fillId="39" borderId="0" xfId="0" applyFill="1"/>
    <xf numFmtId="165" fontId="0" fillId="0" borderId="0" xfId="1" applyNumberFormat="1" applyFont="1" applyBorder="1"/>
    <xf numFmtId="165" fontId="16" fillId="0" borderId="17" xfId="1" applyNumberFormat="1" applyFont="1" applyBorder="1"/>
    <xf numFmtId="0" fontId="0" fillId="0" borderId="25" xfId="0" applyBorder="1"/>
    <xf numFmtId="0" fontId="22" fillId="0" borderId="13" xfId="0" applyFont="1" applyBorder="1"/>
    <xf numFmtId="0" fontId="22" fillId="0" borderId="14" xfId="0" applyFont="1" applyBorder="1"/>
    <xf numFmtId="9" fontId="22" fillId="0" borderId="18" xfId="0" applyNumberFormat="1" applyFont="1" applyBorder="1"/>
    <xf numFmtId="9" fontId="22" fillId="0" borderId="19" xfId="0" applyNumberFormat="1" applyFont="1" applyBorder="1"/>
    <xf numFmtId="0" fontId="18" fillId="0" borderId="25" xfId="0" applyFont="1" applyBorder="1"/>
    <xf numFmtId="0" fontId="19" fillId="0" borderId="26" xfId="0" applyFont="1" applyBorder="1"/>
    <xf numFmtId="3" fontId="21" fillId="0" borderId="0" xfId="0" applyNumberFormat="1" applyFont="1"/>
    <xf numFmtId="3" fontId="21" fillId="0" borderId="10" xfId="0" applyNumberFormat="1" applyFont="1" applyBorder="1"/>
    <xf numFmtId="3" fontId="21" fillId="0" borderId="21" xfId="0" applyNumberFormat="1" applyFont="1" applyBorder="1"/>
    <xf numFmtId="0" fontId="18" fillId="0" borderId="12" xfId="0" applyFont="1" applyBorder="1"/>
    <xf numFmtId="0" fontId="19" fillId="0" borderId="25" xfId="0" applyFon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0" xfId="0" applyNumberFormat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9" fontId="0" fillId="0" borderId="14" xfId="2" applyFont="1" applyFill="1" applyBorder="1"/>
    <xf numFmtId="9" fontId="0" fillId="0" borderId="15" xfId="2" applyFont="1" applyFill="1" applyBorder="1"/>
    <xf numFmtId="9" fontId="0" fillId="0" borderId="0" xfId="2" applyFont="1" applyFill="1" applyBorder="1"/>
    <xf numFmtId="9" fontId="0" fillId="0" borderId="17" xfId="2" applyFont="1" applyFill="1" applyBorder="1"/>
    <xf numFmtId="0" fontId="19" fillId="0" borderId="12" xfId="0" applyFont="1" applyBorder="1"/>
    <xf numFmtId="9" fontId="0" fillId="40" borderId="14" xfId="2" applyFont="1" applyFill="1" applyBorder="1"/>
    <xf numFmtId="9" fontId="0" fillId="40" borderId="0" xfId="2" applyFont="1" applyFill="1" applyBorder="1"/>
    <xf numFmtId="9" fontId="0" fillId="40" borderId="19" xfId="2" applyFont="1" applyFill="1" applyBorder="1"/>
    <xf numFmtId="9" fontId="0" fillId="40" borderId="0" xfId="0" applyNumberFormat="1" applyFill="1"/>
    <xf numFmtId="9" fontId="0" fillId="40" borderId="19" xfId="0" applyNumberFormat="1" applyFill="1" applyBorder="1"/>
    <xf numFmtId="166" fontId="21" fillId="33" borderId="0" xfId="0" applyNumberFormat="1" applyFont="1" applyFill="1"/>
    <xf numFmtId="166" fontId="18" fillId="33" borderId="28" xfId="0" applyNumberFormat="1" applyFont="1" applyFill="1" applyBorder="1"/>
    <xf numFmtId="167" fontId="0" fillId="0" borderId="0" xfId="1" applyNumberFormat="1" applyFont="1"/>
    <xf numFmtId="0" fontId="19" fillId="33" borderId="0" xfId="0" applyFont="1" applyFill="1"/>
    <xf numFmtId="0" fontId="18" fillId="33" borderId="28" xfId="0" applyFont="1" applyFill="1" applyBorder="1"/>
    <xf numFmtId="0" fontId="0" fillId="35" borderId="0" xfId="0" applyFill="1"/>
    <xf numFmtId="168" fontId="0" fillId="0" borderId="0" xfId="0" applyNumberFormat="1"/>
    <xf numFmtId="168" fontId="0" fillId="37" borderId="0" xfId="0" applyNumberFormat="1" applyFill="1"/>
    <xf numFmtId="1" fontId="6" fillId="2" borderId="0" xfId="8" applyNumberFormat="1"/>
    <xf numFmtId="0" fontId="7" fillId="3" borderId="0" xfId="9" applyAlignment="1">
      <alignment wrapText="1"/>
    </xf>
    <xf numFmtId="165" fontId="7" fillId="3" borderId="0" xfId="9" applyNumberFormat="1"/>
    <xf numFmtId="0" fontId="7" fillId="3" borderId="0" xfId="9"/>
    <xf numFmtId="1" fontId="7" fillId="3" borderId="0" xfId="9" applyNumberFormat="1"/>
    <xf numFmtId="0" fontId="16" fillId="41" borderId="0" xfId="0" applyFont="1" applyFill="1"/>
    <xf numFmtId="0" fontId="18" fillId="41" borderId="0" xfId="0" applyFont="1" applyFill="1"/>
    <xf numFmtId="0" fontId="16" fillId="41" borderId="0" xfId="0" applyFont="1" applyFill="1" applyAlignment="1">
      <alignment horizontal="center"/>
    </xf>
    <xf numFmtId="2" fontId="18" fillId="41" borderId="0" xfId="0" applyNumberFormat="1" applyFont="1" applyFill="1" applyAlignment="1">
      <alignment horizontal="center"/>
    </xf>
    <xf numFmtId="1" fontId="24" fillId="42" borderId="0" xfId="9" applyNumberFormat="1" applyFont="1" applyFill="1" applyBorder="1"/>
    <xf numFmtId="0" fontId="24" fillId="42" borderId="0" xfId="9" applyFont="1" applyFill="1" applyBorder="1"/>
    <xf numFmtId="0" fontId="25" fillId="43" borderId="0" xfId="0" applyFont="1" applyFill="1"/>
    <xf numFmtId="0" fontId="25" fillId="44" borderId="0" xfId="0" applyFont="1" applyFill="1"/>
    <xf numFmtId="9" fontId="25" fillId="45" borderId="0" xfId="0" applyNumberFormat="1" applyFont="1" applyFill="1"/>
    <xf numFmtId="0" fontId="0" fillId="36" borderId="0" xfId="0" applyFill="1" applyAlignment="1">
      <alignment horizontal="left" vertical="top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</cellXfs>
  <cellStyles count="44">
    <cellStyle name="20 % – uthevingsfarge 1" xfId="21" builtinId="30" customBuiltin="1"/>
    <cellStyle name="20 % – uthevingsfarge 2" xfId="25" builtinId="34" customBuiltin="1"/>
    <cellStyle name="20 % – uthevingsfarge 3" xfId="29" builtinId="38" customBuiltin="1"/>
    <cellStyle name="20 % – uthevingsfarge 4" xfId="33" builtinId="42" customBuiltin="1"/>
    <cellStyle name="20 % – uthevingsfarge 5" xfId="37" builtinId="46" customBuiltin="1"/>
    <cellStyle name="20 % – uthevingsfarge 6" xfId="41" builtinId="50" customBuiltin="1"/>
    <cellStyle name="40 % – uthevingsfarge 1" xfId="22" builtinId="31" customBuiltin="1"/>
    <cellStyle name="40 % – uthevingsfarge 2" xfId="26" builtinId="35" customBuiltin="1"/>
    <cellStyle name="40 % – uthevingsfarge 3" xfId="30" builtinId="39" customBuiltin="1"/>
    <cellStyle name="40 % – uthevingsfarge 4" xfId="34" builtinId="43" customBuiltin="1"/>
    <cellStyle name="40 % – uthevingsfarge 5" xfId="38" builtinId="47" customBuiltin="1"/>
    <cellStyle name="40 % – uthevingsfarge 6" xfId="42" builtinId="51" customBuiltin="1"/>
    <cellStyle name="60 % – uthevingsfarge 1" xfId="23" builtinId="32" customBuiltin="1"/>
    <cellStyle name="60 % – uthevingsfarge 2" xfId="27" builtinId="36" customBuiltin="1"/>
    <cellStyle name="60 % – uthevingsfarge 3" xfId="31" builtinId="40" customBuiltin="1"/>
    <cellStyle name="60 % – uthevingsfarge 4" xfId="35" builtinId="44" customBuiltin="1"/>
    <cellStyle name="60 % – uthevingsfarge 5" xfId="39" builtinId="48" customBuiltin="1"/>
    <cellStyle name="60 % – uthevingsfarge 6" xfId="43" builtinId="52" customBuiltin="1"/>
    <cellStyle name="Beregning" xfId="13" builtinId="22" customBuiltin="1"/>
    <cellStyle name="Dårlig" xfId="9" builtinId="27" customBuiltin="1"/>
    <cellStyle name="Forklarende tekst" xfId="18" builtinId="53" customBuiltin="1"/>
    <cellStyle name="God" xfId="8" builtinId="26" customBuiltin="1"/>
    <cellStyle name="Inndata" xfId="11" builtinId="20" customBuiltin="1"/>
    <cellStyle name="Koblet celle" xfId="14" builtinId="24" customBuiltin="1"/>
    <cellStyle name="Komma" xfId="1" builtinId="3"/>
    <cellStyle name="Kontrollcelle" xfId="15" builtinId="23" customBuiltin="1"/>
    <cellStyle name="Merknad" xfId="17" builtinId="10" customBuiltin="1"/>
    <cellStyle name="Normal" xfId="0" builtinId="0"/>
    <cellStyle name="Nøytral" xfId="10" builtinId="28" customBuiltin="1"/>
    <cellStyle name="Overskrift 1" xfId="4" builtinId="16" customBuiltin="1"/>
    <cellStyle name="Overskrift 2" xfId="5" builtinId="17" customBuiltin="1"/>
    <cellStyle name="Overskrift 3" xfId="6" builtinId="18" customBuiltin="1"/>
    <cellStyle name="Overskrift 4" xfId="7" builtinId="19" customBuiltin="1"/>
    <cellStyle name="Prosent" xfId="2" builtinId="5"/>
    <cellStyle name="Tittel" xfId="3" builtinId="15" customBuiltin="1"/>
    <cellStyle name="Totalt" xfId="19" builtinId="25" customBuiltin="1"/>
    <cellStyle name="Utdata" xfId="12" builtinId="21" customBuiltin="1"/>
    <cellStyle name="Uthevingsfarge1" xfId="20" builtinId="29" customBuiltin="1"/>
    <cellStyle name="Uthevingsfarge2" xfId="24" builtinId="33" customBuiltin="1"/>
    <cellStyle name="Uthevingsfarge3" xfId="28" builtinId="37" customBuiltin="1"/>
    <cellStyle name="Uthevingsfarge4" xfId="32" builtinId="41" customBuiltin="1"/>
    <cellStyle name="Uthevingsfarge5" xfId="36" builtinId="45" customBuiltin="1"/>
    <cellStyle name="Uthevingsfarge6" xfId="40" builtinId="49" customBuiltin="1"/>
    <cellStyle name="Varselteks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1308-8C75-4F68-9CA9-AC1A2919C826}">
  <dimension ref="A6:L33"/>
  <sheetViews>
    <sheetView topLeftCell="A10" workbookViewId="0">
      <selection activeCell="C29" sqref="C29"/>
    </sheetView>
  </sheetViews>
  <sheetFormatPr defaultColWidth="11.42578125" defaultRowHeight="15"/>
  <cols>
    <col min="3" max="3" width="32.7109375" customWidth="1"/>
  </cols>
  <sheetData>
    <row r="6" spans="3:11">
      <c r="C6" s="90" t="s">
        <v>0</v>
      </c>
      <c r="D6" s="90"/>
      <c r="E6" s="90"/>
      <c r="F6" s="90"/>
      <c r="G6" s="90"/>
      <c r="H6" s="90"/>
      <c r="I6" s="90"/>
      <c r="J6" s="90"/>
      <c r="K6" s="90"/>
    </row>
    <row r="7" spans="3:11">
      <c r="C7" s="90"/>
      <c r="D7" s="90"/>
      <c r="E7" s="90"/>
      <c r="F7" s="90"/>
      <c r="G7" s="90"/>
      <c r="H7" s="90"/>
      <c r="I7" s="90"/>
      <c r="J7" s="90"/>
      <c r="K7" s="90"/>
    </row>
    <row r="8" spans="3:11">
      <c r="C8" s="90"/>
      <c r="D8" s="90"/>
      <c r="E8" s="90"/>
      <c r="F8" s="90"/>
      <c r="G8" s="90"/>
      <c r="H8" s="90"/>
      <c r="I8" s="90"/>
      <c r="J8" s="90"/>
      <c r="K8" s="90"/>
    </row>
    <row r="9" spans="3:11">
      <c r="C9" s="90"/>
      <c r="D9" s="90"/>
      <c r="E9" s="90"/>
      <c r="F9" s="90"/>
      <c r="G9" s="90"/>
      <c r="H9" s="90"/>
      <c r="I9" s="90"/>
      <c r="J9" s="90"/>
      <c r="K9" s="90"/>
    </row>
    <row r="10" spans="3:11">
      <c r="C10" s="90"/>
      <c r="D10" s="90"/>
      <c r="E10" s="90"/>
      <c r="F10" s="90"/>
      <c r="G10" s="90"/>
      <c r="H10" s="90"/>
      <c r="I10" s="90"/>
      <c r="J10" s="90"/>
      <c r="K10" s="90"/>
    </row>
    <row r="11" spans="3:11">
      <c r="C11" s="90"/>
      <c r="D11" s="90"/>
      <c r="E11" s="90"/>
      <c r="F11" s="90"/>
      <c r="G11" s="90"/>
      <c r="H11" s="90"/>
      <c r="I11" s="90"/>
      <c r="J11" s="90"/>
      <c r="K11" s="90"/>
    </row>
    <row r="12" spans="3:11">
      <c r="C12" s="90"/>
      <c r="D12" s="90"/>
      <c r="E12" s="90"/>
      <c r="F12" s="90"/>
      <c r="G12" s="90"/>
      <c r="H12" s="90"/>
      <c r="I12" s="90"/>
      <c r="J12" s="90"/>
      <c r="K12" s="90"/>
    </row>
    <row r="13" spans="3:11">
      <c r="C13" s="90"/>
      <c r="D13" s="90"/>
      <c r="E13" s="90"/>
      <c r="F13" s="90"/>
      <c r="G13" s="90"/>
      <c r="H13" s="90"/>
      <c r="I13" s="90"/>
      <c r="J13" s="90"/>
      <c r="K13" s="90"/>
    </row>
    <row r="14" spans="3:11">
      <c r="C14" s="90"/>
      <c r="D14" s="90"/>
      <c r="E14" s="90"/>
      <c r="F14" s="90"/>
      <c r="G14" s="90"/>
      <c r="H14" s="90"/>
      <c r="I14" s="90"/>
      <c r="J14" s="90"/>
      <c r="K14" s="90"/>
    </row>
    <row r="15" spans="3:11">
      <c r="C15" s="90"/>
      <c r="D15" s="90"/>
      <c r="E15" s="90"/>
      <c r="F15" s="90"/>
      <c r="G15" s="90"/>
      <c r="H15" s="90"/>
      <c r="I15" s="90"/>
      <c r="J15" s="90"/>
      <c r="K15" s="90"/>
    </row>
    <row r="16" spans="3:11">
      <c r="C16" s="90"/>
      <c r="D16" s="90"/>
      <c r="E16" s="90"/>
      <c r="F16" s="90"/>
      <c r="G16" s="90"/>
      <c r="H16" s="90"/>
      <c r="I16" s="90"/>
      <c r="J16" s="90"/>
      <c r="K16" s="90"/>
    </row>
    <row r="17" spans="1:12">
      <c r="C17" s="90"/>
      <c r="D17" s="90"/>
      <c r="E17" s="90"/>
      <c r="F17" s="90"/>
      <c r="G17" s="90"/>
      <c r="H17" s="90"/>
      <c r="I17" s="90"/>
      <c r="J17" s="90"/>
      <c r="K17" s="90"/>
    </row>
    <row r="18" spans="1:12" ht="91.5" customHeight="1">
      <c r="C18" s="90"/>
      <c r="D18" s="90"/>
      <c r="E18" s="90"/>
      <c r="F18" s="90"/>
      <c r="G18" s="90"/>
      <c r="H18" s="90"/>
      <c r="I18" s="90"/>
      <c r="J18" s="90"/>
      <c r="K18" s="90"/>
    </row>
    <row r="19" spans="1:12">
      <c r="C19" s="90"/>
      <c r="D19" s="90"/>
      <c r="E19" s="90"/>
      <c r="F19" s="90"/>
      <c r="G19" s="90"/>
      <c r="H19" s="90"/>
      <c r="I19" s="90"/>
      <c r="J19" s="90"/>
      <c r="K19" s="90"/>
    </row>
    <row r="20" spans="1:12">
      <c r="C20" s="90"/>
      <c r="D20" s="90"/>
      <c r="E20" s="90"/>
      <c r="F20" s="90"/>
      <c r="G20" s="90"/>
      <c r="H20" s="90"/>
      <c r="I20" s="90"/>
      <c r="J20" s="90"/>
      <c r="K20" s="90"/>
    </row>
    <row r="21" spans="1:12">
      <c r="C21" s="90"/>
      <c r="D21" s="90"/>
      <c r="E21" s="90"/>
      <c r="F21" s="90"/>
      <c r="G21" s="90"/>
      <c r="H21" s="90"/>
      <c r="I21" s="90"/>
      <c r="J21" s="90"/>
      <c r="K21" s="90"/>
    </row>
    <row r="24" spans="1:12">
      <c r="E24" t="s">
        <v>1</v>
      </c>
      <c r="F24" t="s">
        <v>2</v>
      </c>
      <c r="G24" t="s">
        <v>3</v>
      </c>
    </row>
    <row r="25" spans="1:12">
      <c r="A25" s="28" t="s">
        <v>4</v>
      </c>
      <c r="B25" s="28" t="s">
        <v>5</v>
      </c>
      <c r="C25" s="28" t="s">
        <v>6</v>
      </c>
      <c r="D25">
        <v>1</v>
      </c>
      <c r="E25" s="74">
        <f>IF('Input til modellen'!L2*Logikk!$D25=0,1,'Input til modellen'!L2*Logikk!D$25)</f>
        <v>0.84645232815964533</v>
      </c>
      <c r="F25" s="74">
        <f>IF('Input til modellen'!M2*Logikk!$D25=0,1,'Input til modellen'!M2*$D25)</f>
        <v>1</v>
      </c>
      <c r="G25" s="74">
        <f>IF('Input til modellen'!N2*Logikk!$D25=0,1,'Input til modellen'!N2*$D25)</f>
        <v>1</v>
      </c>
    </row>
    <row r="26" spans="1:12">
      <c r="A26" s="28" t="s">
        <v>4</v>
      </c>
      <c r="B26" s="28" t="s">
        <v>5</v>
      </c>
      <c r="C26" s="28" t="s">
        <v>7</v>
      </c>
      <c r="D26">
        <v>1</v>
      </c>
      <c r="E26" s="74">
        <f>IF('Input til modellen'!L3*Logikk!$D26=0,1,'Input til modellen'!L3*Logikk!D$25)</f>
        <v>0.9368070953436809</v>
      </c>
      <c r="F26" s="74">
        <f>IF('Input til modellen'!M3*Logikk!$D26=0,1,'Input til modellen'!M3*$D26)</f>
        <v>1</v>
      </c>
      <c r="G26" s="74">
        <f>IF('Input til modellen'!N3*Logikk!$D26=0,1,'Input til modellen'!N3*$D26)</f>
        <v>1</v>
      </c>
      <c r="I26" s="70"/>
      <c r="J26" s="70"/>
      <c r="K26" s="70"/>
      <c r="L26" s="70"/>
    </row>
    <row r="27" spans="1:12">
      <c r="A27" s="28" t="s">
        <v>4</v>
      </c>
      <c r="B27" s="28" t="s">
        <v>5</v>
      </c>
      <c r="C27" s="28" t="s">
        <v>8</v>
      </c>
      <c r="D27">
        <v>1</v>
      </c>
      <c r="E27" s="74">
        <f>IF('Input til modellen'!L4*Logikk!$D27=0,1,'Input til modellen'!L4*Logikk!D$25)</f>
        <v>0.81319290465631933</v>
      </c>
      <c r="F27" s="74">
        <f>IF('Input til modellen'!M4*Logikk!$D27=0,1,'Input til modellen'!M4*$D27)</f>
        <v>1</v>
      </c>
      <c r="G27" s="74">
        <f>IF('Input til modellen'!N4*Logikk!$D27=0,1,'Input til modellen'!N4*$D27)</f>
        <v>1</v>
      </c>
      <c r="I27" s="70"/>
      <c r="J27" s="70"/>
      <c r="K27" s="70"/>
      <c r="L27" s="70"/>
    </row>
    <row r="28" spans="1:12">
      <c r="A28" s="28" t="s">
        <v>4</v>
      </c>
      <c r="B28" s="28" t="s">
        <v>5</v>
      </c>
      <c r="C28" s="28" t="s">
        <v>9</v>
      </c>
      <c r="D28">
        <v>0</v>
      </c>
      <c r="E28" s="74">
        <f>IF('Input til modellen'!L5*Logikk!$D28=0,1,'Input til modellen'!L5*Logikk!D$25)</f>
        <v>1</v>
      </c>
      <c r="F28" s="74">
        <f>IF('Input til modellen'!M5*Logikk!$D28=0,1,'Input til modellen'!M5*$D28)</f>
        <v>1</v>
      </c>
      <c r="G28" s="74">
        <f>IF('Input til modellen'!N5*Logikk!$D28=0,1,'Input til modellen'!N5*$D28)</f>
        <v>1</v>
      </c>
    </row>
    <row r="29" spans="1:12">
      <c r="A29" s="28" t="s">
        <v>4</v>
      </c>
      <c r="B29" s="28" t="s">
        <v>5</v>
      </c>
      <c r="C29" s="28" t="s">
        <v>10</v>
      </c>
      <c r="D29">
        <v>0</v>
      </c>
      <c r="E29" s="74">
        <f>IF('Input til modellen'!L6*Logikk!$D29=0,1,'Input til modellen'!L6*Logikk!D$25)</f>
        <v>1</v>
      </c>
      <c r="F29" s="74">
        <f>IF('Input til modellen'!M6*Logikk!$D29=0,1,'Input til modellen'!M6*$D29)</f>
        <v>1</v>
      </c>
      <c r="G29" s="74">
        <f>IF('Input til modellen'!N6*Logikk!$D29=0,1,'Input til modellen'!N6*$D29)</f>
        <v>1</v>
      </c>
    </row>
    <row r="30" spans="1:12">
      <c r="A30" s="28" t="s">
        <v>4</v>
      </c>
      <c r="B30" s="28" t="s">
        <v>5</v>
      </c>
      <c r="C30" s="28" t="s">
        <v>11</v>
      </c>
      <c r="D30">
        <v>0</v>
      </c>
      <c r="E30" s="74">
        <f>IF('Input til modellen'!L7*Logikk!$D30=0,1,'Input til modellen'!L7*Logikk!D$25)</f>
        <v>1</v>
      </c>
      <c r="F30" s="74">
        <f>IF('Input til modellen'!M7*Logikk!$D30=0,1,'Input til modellen'!M7*$D30)</f>
        <v>1</v>
      </c>
      <c r="G30" s="74">
        <f>IF('Input til modellen'!N7*Logikk!$D30=0,1,'Input til modellen'!N7*$D30)</f>
        <v>1</v>
      </c>
    </row>
    <row r="31" spans="1:12">
      <c r="A31" s="28" t="s">
        <v>4</v>
      </c>
      <c r="B31" s="28" t="s">
        <v>5</v>
      </c>
      <c r="C31" s="28" t="s">
        <v>12</v>
      </c>
      <c r="D31">
        <v>0</v>
      </c>
      <c r="E31" s="74">
        <f>IF('Input til modellen'!L8*Logikk!$D31=0,1,'Input til modellen'!L8*Logikk!D$25)</f>
        <v>1</v>
      </c>
      <c r="F31" s="74">
        <f>IF('Input til modellen'!M8*Logikk!$D31=0,1,'Input til modellen'!M8*$D31)</f>
        <v>1</v>
      </c>
      <c r="G31" s="74">
        <f>IF('Input til modellen'!N8*Logikk!$D31=0,1,'Input til modellen'!N8*$D31)</f>
        <v>1</v>
      </c>
    </row>
    <row r="32" spans="1:12">
      <c r="A32" s="28" t="s">
        <v>4</v>
      </c>
      <c r="B32" s="28" t="s">
        <v>5</v>
      </c>
      <c r="C32" s="28" t="s">
        <v>13</v>
      </c>
      <c r="D32">
        <v>1</v>
      </c>
      <c r="E32" s="74">
        <f>IF('Input til modellen'!L9*Logikk!$D32=0,1,'Input til modellen'!L9*Logikk!D$25)</f>
        <v>0.3214285714285714</v>
      </c>
      <c r="F32" s="74">
        <f>IF('Input til modellen'!M9*Logikk!$D32=0,1,'Input til modellen'!M9*$D32)</f>
        <v>0.64</v>
      </c>
      <c r="G32" s="74">
        <f>IF('Input til modellen'!N9*Logikk!$D32=0,1,'Input til modellen'!N9*$D32)</f>
        <v>1</v>
      </c>
      <c r="J32" s="70"/>
      <c r="K32" s="70"/>
      <c r="L32" s="70"/>
    </row>
    <row r="33" spans="4:8">
      <c r="D33" s="70"/>
      <c r="E33">
        <f>E32*E31*E30*E29*E28*E27*E26*E25*'Input til modellen'!H$2</f>
        <v>37.391016094965835</v>
      </c>
      <c r="F33">
        <f>F32*F31*F30*F29*F28*F27*F26*F25*'Input til modellen'!I$2</f>
        <v>19.071999999999999</v>
      </c>
      <c r="G33">
        <f>G32*G31*G30*G29*G28*G27*G26*G25*'Input til modellen'!J$2</f>
        <v>30.1</v>
      </c>
      <c r="H33" s="76">
        <f>SUM(E33:G33)</f>
        <v>86.563016094965832</v>
      </c>
    </row>
  </sheetData>
  <mergeCells count="1">
    <mergeCell ref="C6:K21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205D-39F0-45AE-8CC9-4A1935D9F4D9}">
  <dimension ref="A1:N91"/>
  <sheetViews>
    <sheetView tabSelected="1" zoomScale="37" workbookViewId="0">
      <selection activeCell="G50" sqref="G50"/>
    </sheetView>
  </sheetViews>
  <sheetFormatPr defaultColWidth="11.42578125" defaultRowHeight="15"/>
  <cols>
    <col min="1" max="1" width="16.42578125" bestFit="1" customWidth="1"/>
    <col min="2" max="2" width="7.42578125" bestFit="1" customWidth="1"/>
    <col min="3" max="3" width="31.5703125" bestFit="1" customWidth="1"/>
    <col min="4" max="4" width="9.140625" customWidth="1"/>
    <col min="5" max="5" width="15.42578125" customWidth="1"/>
    <col min="6" max="7" width="18.140625" customWidth="1"/>
    <col min="8" max="14" width="20.5703125" customWidth="1"/>
  </cols>
  <sheetData>
    <row r="1" spans="1:14" s="32" customFormat="1" ht="60">
      <c r="A1" s="29" t="s">
        <v>14</v>
      </c>
      <c r="B1" s="29" t="s">
        <v>15</v>
      </c>
      <c r="C1" s="29" t="s">
        <v>16</v>
      </c>
      <c r="D1" s="29" t="s">
        <v>17</v>
      </c>
      <c r="E1" s="77" t="s">
        <v>18</v>
      </c>
      <c r="F1" s="77" t="s">
        <v>19</v>
      </c>
      <c r="G1" s="77" t="s">
        <v>20</v>
      </c>
      <c r="H1" s="30" t="s">
        <v>21</v>
      </c>
      <c r="I1" s="30" t="s">
        <v>22</v>
      </c>
      <c r="J1" s="30" t="s">
        <v>23</v>
      </c>
      <c r="K1" s="33" t="s">
        <v>24</v>
      </c>
      <c r="L1" s="31" t="s">
        <v>25</v>
      </c>
      <c r="M1" s="31" t="s">
        <v>26</v>
      </c>
      <c r="N1" s="31" t="s">
        <v>27</v>
      </c>
    </row>
    <row r="2" spans="1:14">
      <c r="A2" s="28" t="s">
        <v>4</v>
      </c>
      <c r="B2" s="28" t="s">
        <v>5</v>
      </c>
      <c r="C2" s="28" t="s">
        <v>6</v>
      </c>
      <c r="D2" s="28">
        <v>1</v>
      </c>
      <c r="E2" s="78">
        <v>27.699999999999989</v>
      </c>
      <c r="F2" s="79">
        <v>0</v>
      </c>
      <c r="G2" s="79">
        <v>0</v>
      </c>
      <c r="H2" s="27">
        <f>'Energibehov før tiltak'!$B$4</f>
        <v>180.4</v>
      </c>
      <c r="I2" s="75">
        <f>'Energibehov før tiltak'!$B$6</f>
        <v>29.8</v>
      </c>
      <c r="J2" s="27">
        <f>SUM('Energibehov før tiltak'!$B$5,'Energibehov før tiltak'!$B$7:$B$12)</f>
        <v>30.1</v>
      </c>
      <c r="K2" s="34">
        <f t="shared" ref="K2:K33" si="0">SUM(H2:J2)</f>
        <v>240.3</v>
      </c>
      <c r="L2" s="26">
        <f>1-E2/H2</f>
        <v>0.84645232815964533</v>
      </c>
      <c r="M2" s="26">
        <v>1</v>
      </c>
      <c r="N2" s="26">
        <v>1</v>
      </c>
    </row>
    <row r="3" spans="1:14">
      <c r="A3" s="28" t="s">
        <v>4</v>
      </c>
      <c r="B3" s="28" t="s">
        <v>5</v>
      </c>
      <c r="C3" s="28" t="s">
        <v>7</v>
      </c>
      <c r="D3" s="28">
        <v>1</v>
      </c>
      <c r="E3" s="78">
        <v>11.399999999999977</v>
      </c>
      <c r="F3" s="79">
        <v>0</v>
      </c>
      <c r="G3" s="79">
        <v>0</v>
      </c>
      <c r="H3" s="27">
        <f>'Energibehov før tiltak'!$B$4</f>
        <v>180.4</v>
      </c>
      <c r="I3" s="27">
        <f>'Energibehov før tiltak'!$B$6</f>
        <v>29.8</v>
      </c>
      <c r="J3" s="27">
        <f>SUM('Energibehov før tiltak'!$B$5,'Energibehov før tiltak'!$B$7:$B$12)</f>
        <v>30.1</v>
      </c>
      <c r="K3" s="34">
        <f t="shared" si="0"/>
        <v>240.3</v>
      </c>
      <c r="L3" s="26">
        <f>1-E3/H3</f>
        <v>0.9368070953436809</v>
      </c>
      <c r="M3" s="26">
        <v>1</v>
      </c>
      <c r="N3" s="26">
        <v>1</v>
      </c>
    </row>
    <row r="4" spans="1:14">
      <c r="A4" s="28" t="s">
        <v>4</v>
      </c>
      <c r="B4" s="28" t="s">
        <v>5</v>
      </c>
      <c r="C4" s="28" t="s">
        <v>8</v>
      </c>
      <c r="D4" s="28">
        <v>1</v>
      </c>
      <c r="E4" s="78">
        <v>33.699999999999989</v>
      </c>
      <c r="F4" s="79">
        <v>0</v>
      </c>
      <c r="G4" s="79">
        <v>0</v>
      </c>
      <c r="H4" s="27">
        <f>'Energibehov før tiltak'!$B$4</f>
        <v>180.4</v>
      </c>
      <c r="I4" s="27">
        <f>'Energibehov før tiltak'!$B$6</f>
        <v>29.8</v>
      </c>
      <c r="J4" s="27">
        <f>SUM('Energibehov før tiltak'!$B$5,'Energibehov før tiltak'!$B$7:$B$12)</f>
        <v>30.1</v>
      </c>
      <c r="K4" s="34">
        <f t="shared" si="0"/>
        <v>240.3</v>
      </c>
      <c r="L4" s="26">
        <f>1-E4/H4</f>
        <v>0.81319290465631933</v>
      </c>
      <c r="M4" s="26">
        <v>1</v>
      </c>
      <c r="N4" s="26">
        <v>1</v>
      </c>
    </row>
    <row r="5" spans="1:14">
      <c r="A5" s="28" t="s">
        <v>4</v>
      </c>
      <c r="B5" s="28" t="s">
        <v>5</v>
      </c>
      <c r="C5" s="28" t="s">
        <v>9</v>
      </c>
      <c r="D5" s="28">
        <v>1</v>
      </c>
      <c r="E5" s="78">
        <v>41.699999999999989</v>
      </c>
      <c r="F5" s="79">
        <v>0</v>
      </c>
      <c r="G5" s="79">
        <v>0</v>
      </c>
      <c r="H5" s="27">
        <f>'Energibehov før tiltak'!$B$4</f>
        <v>180.4</v>
      </c>
      <c r="I5" s="27">
        <f>'Energibehov før tiltak'!$B$6</f>
        <v>29.8</v>
      </c>
      <c r="J5" s="27">
        <f>SUM('Energibehov før tiltak'!$B$5,'Energibehov før tiltak'!$B$7:$B$12)</f>
        <v>30.1</v>
      </c>
      <c r="K5" s="34">
        <f t="shared" si="0"/>
        <v>240.3</v>
      </c>
      <c r="L5" s="26">
        <f>1-E5/H5</f>
        <v>0.76884700665188477</v>
      </c>
      <c r="M5" s="26">
        <v>1</v>
      </c>
      <c r="N5" s="26">
        <v>1</v>
      </c>
    </row>
    <row r="6" spans="1:14">
      <c r="A6" s="28" t="s">
        <v>4</v>
      </c>
      <c r="B6" s="28" t="s">
        <v>5</v>
      </c>
      <c r="C6" s="28" t="s">
        <v>10</v>
      </c>
      <c r="D6" s="28">
        <v>0</v>
      </c>
      <c r="E6" s="78">
        <v>10.824</v>
      </c>
      <c r="F6" s="79">
        <v>0</v>
      </c>
      <c r="G6" s="79">
        <v>0</v>
      </c>
      <c r="H6" s="27">
        <f>'Energibehov før tiltak'!$B$4</f>
        <v>180.4</v>
      </c>
      <c r="I6" s="27">
        <f>'Energibehov før tiltak'!$B$6</f>
        <v>29.8</v>
      </c>
      <c r="J6" s="27">
        <f>SUM('Energibehov før tiltak'!$B$5,'Energibehov før tiltak'!$B$7:$B$12)</f>
        <v>30.1</v>
      </c>
      <c r="K6" s="34">
        <f t="shared" si="0"/>
        <v>240.3</v>
      </c>
      <c r="L6" s="26">
        <f>1-E6/H6</f>
        <v>0.94</v>
      </c>
      <c r="M6" s="26">
        <v>1</v>
      </c>
      <c r="N6" s="26">
        <v>1</v>
      </c>
    </row>
    <row r="7" spans="1:14">
      <c r="A7" s="28" t="s">
        <v>4</v>
      </c>
      <c r="B7" s="28" t="s">
        <v>5</v>
      </c>
      <c r="C7" s="28" t="s">
        <v>11</v>
      </c>
      <c r="D7" s="28">
        <v>1</v>
      </c>
      <c r="E7" s="78">
        <f t="shared" ref="E7:G9" si="1">(1-L7)*H7</f>
        <v>59.039999999999985</v>
      </c>
      <c r="F7" s="78">
        <f t="shared" si="1"/>
        <v>0</v>
      </c>
      <c r="G7" s="78">
        <f t="shared" si="1"/>
        <v>0</v>
      </c>
      <c r="H7" s="27">
        <f>'Energibehov før tiltak'!$B$4</f>
        <v>180.4</v>
      </c>
      <c r="I7" s="27">
        <f>'Energibehov før tiltak'!$B$6</f>
        <v>29.8</v>
      </c>
      <c r="J7" s="27">
        <f>SUM('Energibehov før tiltak'!$B$5,'Energibehov før tiltak'!$B$7:$B$12)</f>
        <v>30.1</v>
      </c>
      <c r="K7" s="34">
        <f t="shared" si="0"/>
        <v>240.3</v>
      </c>
      <c r="L7" s="26">
        <f>'Regler varmepumper'!C24</f>
        <v>0.67272727272727284</v>
      </c>
      <c r="M7" s="26">
        <f>'Regler varmepumper'!C25</f>
        <v>1</v>
      </c>
      <c r="N7" s="26">
        <f>'Regler varmepumper'!C26</f>
        <v>1</v>
      </c>
    </row>
    <row r="8" spans="1:14">
      <c r="A8" s="28" t="s">
        <v>4</v>
      </c>
      <c r="B8" s="28" t="s">
        <v>5</v>
      </c>
      <c r="C8" s="28" t="s">
        <v>12</v>
      </c>
      <c r="D8" s="28">
        <v>1</v>
      </c>
      <c r="E8" s="78">
        <f t="shared" si="1"/>
        <v>86.591999999999999</v>
      </c>
      <c r="F8" s="78">
        <f t="shared" si="1"/>
        <v>8.9400000000000013</v>
      </c>
      <c r="G8" s="78">
        <f t="shared" si="1"/>
        <v>0</v>
      </c>
      <c r="H8" s="27">
        <f>'Energibehov før tiltak'!$B$4</f>
        <v>180.4</v>
      </c>
      <c r="I8" s="27">
        <f>'Energibehov før tiltak'!$B$6</f>
        <v>29.8</v>
      </c>
      <c r="J8" s="27">
        <f>SUM('Energibehov før tiltak'!$B$5,'Energibehov før tiltak'!$B$7:$B$12)</f>
        <v>30.1</v>
      </c>
      <c r="K8" s="34">
        <f t="shared" si="0"/>
        <v>240.3</v>
      </c>
      <c r="L8" s="26">
        <f>'Regler varmepumper'!C27</f>
        <v>0.52</v>
      </c>
      <c r="M8" s="26">
        <f>'Regler varmepumper'!C28</f>
        <v>0.7</v>
      </c>
      <c r="N8" s="26">
        <f>'Regler varmepumper'!C29</f>
        <v>1</v>
      </c>
    </row>
    <row r="9" spans="1:14">
      <c r="A9" s="28" t="s">
        <v>4</v>
      </c>
      <c r="B9" s="28" t="s">
        <v>5</v>
      </c>
      <c r="C9" s="28" t="s">
        <v>13</v>
      </c>
      <c r="D9" s="28">
        <v>1</v>
      </c>
      <c r="E9" s="78">
        <f t="shared" si="1"/>
        <v>122.41428571428573</v>
      </c>
      <c r="F9" s="78">
        <f t="shared" si="1"/>
        <v>10.728</v>
      </c>
      <c r="G9" s="78">
        <f t="shared" si="1"/>
        <v>0</v>
      </c>
      <c r="H9" s="27">
        <f>'Energibehov før tiltak'!$B$4</f>
        <v>180.4</v>
      </c>
      <c r="I9" s="27">
        <f>'Energibehov før tiltak'!$B$6</f>
        <v>29.8</v>
      </c>
      <c r="J9" s="27">
        <f>SUM('Energibehov før tiltak'!$B$5,'Energibehov før tiltak'!$B$7:$B$12)</f>
        <v>30.1</v>
      </c>
      <c r="K9" s="34">
        <f t="shared" si="0"/>
        <v>240.3</v>
      </c>
      <c r="L9" s="26">
        <f>'Regler varmepumper'!C30</f>
        <v>0.3214285714285714</v>
      </c>
      <c r="M9" s="26">
        <f>'Regler varmepumper'!C31</f>
        <v>0.64</v>
      </c>
      <c r="N9" s="26">
        <f>'Regler varmepumper'!C32</f>
        <v>1</v>
      </c>
    </row>
    <row r="10" spans="1:14">
      <c r="A10" s="28" t="s">
        <v>28</v>
      </c>
      <c r="B10" s="28" t="s">
        <v>5</v>
      </c>
      <c r="C10" s="28" t="s">
        <v>6</v>
      </c>
      <c r="D10" s="28">
        <v>1</v>
      </c>
      <c r="E10" s="78">
        <v>39.699999999999989</v>
      </c>
      <c r="F10" s="79">
        <v>0</v>
      </c>
      <c r="G10" s="79">
        <v>0</v>
      </c>
      <c r="H10" s="27">
        <f>'Energibehov før tiltak'!$H$4</f>
        <v>162.4</v>
      </c>
      <c r="I10" s="27">
        <f>'Energibehov før tiltak'!$H$6</f>
        <v>29.8</v>
      </c>
      <c r="J10" s="27">
        <f>SUM('Energibehov før tiltak'!$B$5,'Energibehov før tiltak'!$B$7:$B$12)</f>
        <v>30.1</v>
      </c>
      <c r="K10" s="34">
        <f t="shared" si="0"/>
        <v>222.3</v>
      </c>
      <c r="L10" s="26">
        <f>1-E10/H10</f>
        <v>0.75554187192118238</v>
      </c>
      <c r="M10" s="26">
        <v>1</v>
      </c>
      <c r="N10" s="26">
        <v>1</v>
      </c>
    </row>
    <row r="11" spans="1:14">
      <c r="A11" s="28" t="s">
        <v>28</v>
      </c>
      <c r="B11" s="28" t="s">
        <v>5</v>
      </c>
      <c r="C11" s="28" t="s">
        <v>7</v>
      </c>
      <c r="D11" s="28">
        <v>1</v>
      </c>
      <c r="E11" s="78">
        <v>8.4000000000000057</v>
      </c>
      <c r="F11" s="79">
        <v>0</v>
      </c>
      <c r="G11" s="79">
        <v>0</v>
      </c>
      <c r="H11" s="27">
        <f>'Energibehov før tiltak'!$H$4</f>
        <v>162.4</v>
      </c>
      <c r="I11" s="27">
        <f>'Energibehov før tiltak'!$H$6</f>
        <v>29.8</v>
      </c>
      <c r="J11" s="27">
        <f>SUM('Energibehov før tiltak'!$B$5,'Energibehov før tiltak'!$B$7:$B$12)</f>
        <v>30.1</v>
      </c>
      <c r="K11" s="34">
        <f t="shared" si="0"/>
        <v>222.3</v>
      </c>
      <c r="L11" s="26">
        <f>1-E11/H11</f>
        <v>0.94827586206896552</v>
      </c>
      <c r="M11" s="26">
        <v>1</v>
      </c>
      <c r="N11" s="26">
        <v>1</v>
      </c>
    </row>
    <row r="12" spans="1:14">
      <c r="A12" s="28" t="s">
        <v>28</v>
      </c>
      <c r="B12" s="28" t="s">
        <v>5</v>
      </c>
      <c r="C12" s="28" t="s">
        <v>8</v>
      </c>
      <c r="D12" s="28">
        <v>1</v>
      </c>
      <c r="E12" s="78">
        <v>31.299999999999983</v>
      </c>
      <c r="F12" s="79">
        <v>0</v>
      </c>
      <c r="G12" s="79">
        <v>0</v>
      </c>
      <c r="H12" s="27">
        <f>'Energibehov før tiltak'!$H$4</f>
        <v>162.4</v>
      </c>
      <c r="I12" s="27">
        <f>'Energibehov før tiltak'!$H$6</f>
        <v>29.8</v>
      </c>
      <c r="J12" s="27">
        <f>SUM('Energibehov før tiltak'!$B$5,'Energibehov før tiltak'!$B$7:$B$12)</f>
        <v>30.1</v>
      </c>
      <c r="K12" s="34">
        <f t="shared" si="0"/>
        <v>222.3</v>
      </c>
      <c r="L12" s="26">
        <f>1-E12/H12</f>
        <v>0.80726600985221686</v>
      </c>
      <c r="M12" s="26">
        <v>1</v>
      </c>
      <c r="N12" s="26">
        <v>1</v>
      </c>
    </row>
    <row r="13" spans="1:14">
      <c r="A13" s="28" t="s">
        <v>28</v>
      </c>
      <c r="B13" s="28" t="s">
        <v>5</v>
      </c>
      <c r="C13" s="28" t="s">
        <v>9</v>
      </c>
      <c r="D13" s="28">
        <v>1</v>
      </c>
      <c r="E13" s="78">
        <v>38.299999999999983</v>
      </c>
      <c r="F13" s="79">
        <v>0</v>
      </c>
      <c r="G13" s="79">
        <v>0</v>
      </c>
      <c r="H13" s="27">
        <f>'Energibehov før tiltak'!$H$4</f>
        <v>162.4</v>
      </c>
      <c r="I13" s="27">
        <f>'Energibehov før tiltak'!$H$6</f>
        <v>29.8</v>
      </c>
      <c r="J13" s="27">
        <f>SUM('Energibehov før tiltak'!$B$5,'Energibehov før tiltak'!$B$7:$B$12)</f>
        <v>30.1</v>
      </c>
      <c r="K13" s="34">
        <f t="shared" si="0"/>
        <v>222.3</v>
      </c>
      <c r="L13" s="26">
        <f>1-E13/H13</f>
        <v>0.76416256157635476</v>
      </c>
      <c r="M13" s="26">
        <v>1</v>
      </c>
      <c r="N13" s="26">
        <v>1</v>
      </c>
    </row>
    <row r="14" spans="1:14">
      <c r="A14" s="28" t="s">
        <v>28</v>
      </c>
      <c r="B14" s="28" t="s">
        <v>5</v>
      </c>
      <c r="C14" s="28" t="s">
        <v>10</v>
      </c>
      <c r="D14" s="28">
        <v>0</v>
      </c>
      <c r="E14" s="78">
        <v>9.7439999999999998</v>
      </c>
      <c r="F14" s="79">
        <v>0</v>
      </c>
      <c r="G14" s="79">
        <v>0</v>
      </c>
      <c r="H14" s="27">
        <f>'Energibehov før tiltak'!$H$4</f>
        <v>162.4</v>
      </c>
      <c r="I14" s="27">
        <f>'Energibehov før tiltak'!$H$6</f>
        <v>29.8</v>
      </c>
      <c r="J14" s="27">
        <f>SUM('Energibehov før tiltak'!$B$5,'Energibehov før tiltak'!$B$7:$B$12)</f>
        <v>30.1</v>
      </c>
      <c r="K14" s="34">
        <f t="shared" si="0"/>
        <v>222.3</v>
      </c>
      <c r="L14" s="26">
        <f>1-E14/H14</f>
        <v>0.94</v>
      </c>
      <c r="M14" s="26">
        <v>1</v>
      </c>
      <c r="N14" s="26">
        <v>1</v>
      </c>
    </row>
    <row r="15" spans="1:14">
      <c r="A15" s="28" t="s">
        <v>28</v>
      </c>
      <c r="B15" s="28" t="s">
        <v>5</v>
      </c>
      <c r="C15" s="28" t="s">
        <v>11</v>
      </c>
      <c r="D15" s="28">
        <v>1</v>
      </c>
      <c r="E15" s="78">
        <f t="shared" ref="E15:G17" si="2">(1-L15)*H15</f>
        <v>53.149090909090894</v>
      </c>
      <c r="F15" s="78">
        <f t="shared" si="2"/>
        <v>0</v>
      </c>
      <c r="G15" s="78">
        <f t="shared" si="2"/>
        <v>0</v>
      </c>
      <c r="H15" s="27">
        <f>'Energibehov før tiltak'!$H$4</f>
        <v>162.4</v>
      </c>
      <c r="I15" s="27">
        <f>'Energibehov før tiltak'!$H$6</f>
        <v>29.8</v>
      </c>
      <c r="J15" s="27">
        <f>SUM('Energibehov før tiltak'!$B$5,'Energibehov før tiltak'!$B$7:$B$12)</f>
        <v>30.1</v>
      </c>
      <c r="K15" s="34">
        <f t="shared" si="0"/>
        <v>222.3</v>
      </c>
      <c r="L15" s="26">
        <f>'Regler varmepumper'!I24</f>
        <v>0.67272727272727284</v>
      </c>
      <c r="M15" s="26">
        <f>'Regler varmepumper'!I25</f>
        <v>1</v>
      </c>
      <c r="N15" s="26">
        <f>'Regler varmepumper'!I26</f>
        <v>1</v>
      </c>
    </row>
    <row r="16" spans="1:14">
      <c r="A16" s="28" t="s">
        <v>28</v>
      </c>
      <c r="B16" s="28" t="s">
        <v>5</v>
      </c>
      <c r="C16" s="28" t="s">
        <v>12</v>
      </c>
      <c r="D16" s="28">
        <v>1</v>
      </c>
      <c r="E16" s="78">
        <f t="shared" si="2"/>
        <v>77.951999999999998</v>
      </c>
      <c r="F16" s="78">
        <f t="shared" si="2"/>
        <v>8.9400000000000013</v>
      </c>
      <c r="G16" s="78">
        <f t="shared" si="2"/>
        <v>0</v>
      </c>
      <c r="H16" s="27">
        <f>'Energibehov før tiltak'!$H$4</f>
        <v>162.4</v>
      </c>
      <c r="I16" s="27">
        <f>'Energibehov før tiltak'!$H$6</f>
        <v>29.8</v>
      </c>
      <c r="J16" s="27">
        <f>SUM('Energibehov før tiltak'!$B$5,'Energibehov før tiltak'!$B$7:$B$12)</f>
        <v>30.1</v>
      </c>
      <c r="K16" s="34">
        <f t="shared" si="0"/>
        <v>222.3</v>
      </c>
      <c r="L16" s="26">
        <f>'Regler varmepumper'!I27</f>
        <v>0.52</v>
      </c>
      <c r="M16" s="26">
        <f>'Regler varmepumper'!I28</f>
        <v>0.7</v>
      </c>
      <c r="N16" s="26">
        <f>'Regler varmepumper'!I29</f>
        <v>1</v>
      </c>
    </row>
    <row r="17" spans="1:14">
      <c r="A17" s="28" t="s">
        <v>28</v>
      </c>
      <c r="B17" s="28" t="s">
        <v>5</v>
      </c>
      <c r="C17" s="28" t="s">
        <v>13</v>
      </c>
      <c r="D17" s="28">
        <v>1</v>
      </c>
      <c r="E17" s="78">
        <f t="shared" si="2"/>
        <v>110.2</v>
      </c>
      <c r="F17" s="78">
        <f t="shared" si="2"/>
        <v>10.728</v>
      </c>
      <c r="G17" s="78">
        <f t="shared" si="2"/>
        <v>0</v>
      </c>
      <c r="H17" s="27">
        <f>'Energibehov før tiltak'!$H$4</f>
        <v>162.4</v>
      </c>
      <c r="I17" s="27">
        <f>'Energibehov før tiltak'!$H$6</f>
        <v>29.8</v>
      </c>
      <c r="J17" s="27">
        <f>SUM('Energibehov før tiltak'!$B$5,'Energibehov før tiltak'!$B$7:$B$12)</f>
        <v>30.1</v>
      </c>
      <c r="K17" s="34">
        <f t="shared" si="0"/>
        <v>222.3</v>
      </c>
      <c r="L17" s="26">
        <f>'Regler varmepumper'!I30</f>
        <v>0.3214285714285714</v>
      </c>
      <c r="M17" s="26">
        <f>'Regler varmepumper'!I31</f>
        <v>0.64</v>
      </c>
      <c r="N17" s="26">
        <f>'Regler varmepumper'!I32</f>
        <v>1</v>
      </c>
    </row>
    <row r="18" spans="1:14">
      <c r="A18" s="28" t="s">
        <v>4</v>
      </c>
      <c r="B18" s="28" t="s">
        <v>29</v>
      </c>
      <c r="C18" s="28" t="s">
        <v>6</v>
      </c>
      <c r="D18" s="28">
        <v>1</v>
      </c>
      <c r="E18" s="78">
        <v>15</v>
      </c>
      <c r="F18" s="79">
        <v>0</v>
      </c>
      <c r="G18" s="79">
        <v>0</v>
      </c>
      <c r="H18" s="27">
        <f>'Energibehov før tiltak'!$C$4</f>
        <v>141.4</v>
      </c>
      <c r="I18" s="27">
        <f>'Energibehov før tiltak'!$C$6</f>
        <v>29.8</v>
      </c>
      <c r="J18" s="27">
        <f>SUM('Energibehov før tiltak'!$C$5,'Energibehov før tiltak'!$C$7:$C$12)</f>
        <v>29.9</v>
      </c>
      <c r="K18" s="34">
        <f t="shared" si="0"/>
        <v>201.10000000000002</v>
      </c>
      <c r="L18" s="26">
        <f>1-E18/H18</f>
        <v>0.89391796322489392</v>
      </c>
      <c r="M18" s="26">
        <v>1</v>
      </c>
      <c r="N18" s="26">
        <v>1</v>
      </c>
    </row>
    <row r="19" spans="1:14">
      <c r="A19" s="28" t="s">
        <v>4</v>
      </c>
      <c r="B19" s="28" t="s">
        <v>29</v>
      </c>
      <c r="C19" s="28" t="s">
        <v>7</v>
      </c>
      <c r="D19" s="28">
        <v>1</v>
      </c>
      <c r="E19" s="78">
        <v>4.6999999999999886</v>
      </c>
      <c r="F19" s="79">
        <v>0</v>
      </c>
      <c r="G19" s="79">
        <v>0</v>
      </c>
      <c r="H19" s="27">
        <f>'Energibehov før tiltak'!$C$4</f>
        <v>141.4</v>
      </c>
      <c r="I19" s="27">
        <f>'Energibehov før tiltak'!$C$6</f>
        <v>29.8</v>
      </c>
      <c r="J19" s="27">
        <f>SUM('Energibehov før tiltak'!$C$5,'Energibehov før tiltak'!$C$7:$C$12)</f>
        <v>29.9</v>
      </c>
      <c r="K19" s="34">
        <f t="shared" si="0"/>
        <v>201.10000000000002</v>
      </c>
      <c r="L19" s="26">
        <f>1-E19/H19</f>
        <v>0.96676096181046689</v>
      </c>
      <c r="M19" s="26">
        <v>1</v>
      </c>
      <c r="N19" s="26">
        <v>1</v>
      </c>
    </row>
    <row r="20" spans="1:14">
      <c r="A20" s="28" t="s">
        <v>4</v>
      </c>
      <c r="B20" s="28" t="s">
        <v>29</v>
      </c>
      <c r="C20" s="28" t="s">
        <v>8</v>
      </c>
      <c r="D20" s="28">
        <v>1</v>
      </c>
      <c r="E20" s="78">
        <v>23.400000000000006</v>
      </c>
      <c r="F20" s="79">
        <v>0</v>
      </c>
      <c r="G20" s="79">
        <v>0</v>
      </c>
      <c r="H20" s="27">
        <f>'Energibehov før tiltak'!$C$4</f>
        <v>141.4</v>
      </c>
      <c r="I20" s="27">
        <f>'Energibehov før tiltak'!$C$6</f>
        <v>29.8</v>
      </c>
      <c r="J20" s="27">
        <f>SUM('Energibehov før tiltak'!$C$5,'Energibehov før tiltak'!$C$7:$C$12)</f>
        <v>29.9</v>
      </c>
      <c r="K20" s="34">
        <f t="shared" si="0"/>
        <v>201.10000000000002</v>
      </c>
      <c r="L20" s="26">
        <f>1-E20/H20</f>
        <v>0.83451202263083446</v>
      </c>
      <c r="M20" s="26">
        <v>1</v>
      </c>
      <c r="N20" s="26">
        <v>1</v>
      </c>
    </row>
    <row r="21" spans="1:14">
      <c r="A21" s="28" t="s">
        <v>4</v>
      </c>
      <c r="B21" s="28" t="s">
        <v>29</v>
      </c>
      <c r="C21" s="28" t="s">
        <v>9</v>
      </c>
      <c r="D21" s="28">
        <v>1</v>
      </c>
      <c r="E21" s="78">
        <v>31.400000000000006</v>
      </c>
      <c r="F21" s="79">
        <v>0</v>
      </c>
      <c r="G21" s="79">
        <v>0</v>
      </c>
      <c r="H21" s="27">
        <f>'Energibehov før tiltak'!$C$4</f>
        <v>141.4</v>
      </c>
      <c r="I21" s="27">
        <f>'Energibehov før tiltak'!$C$6</f>
        <v>29.8</v>
      </c>
      <c r="J21" s="27">
        <f>SUM('Energibehov før tiltak'!$C$5,'Energibehov før tiltak'!$C$7:$C$12)</f>
        <v>29.9</v>
      </c>
      <c r="K21" s="34">
        <f t="shared" si="0"/>
        <v>201.10000000000002</v>
      </c>
      <c r="L21" s="26">
        <f>1-E21/H21</f>
        <v>0.77793493635077793</v>
      </c>
      <c r="M21" s="26">
        <v>1</v>
      </c>
      <c r="N21" s="26">
        <v>1</v>
      </c>
    </row>
    <row r="22" spans="1:14">
      <c r="A22" s="28" t="s">
        <v>4</v>
      </c>
      <c r="B22" s="28" t="s">
        <v>29</v>
      </c>
      <c r="C22" s="28" t="s">
        <v>10</v>
      </c>
      <c r="D22" s="28">
        <v>0</v>
      </c>
      <c r="E22" s="78">
        <v>8.484</v>
      </c>
      <c r="F22" s="79">
        <v>0</v>
      </c>
      <c r="G22" s="79">
        <v>0</v>
      </c>
      <c r="H22" s="27">
        <f>'Energibehov før tiltak'!$C$4</f>
        <v>141.4</v>
      </c>
      <c r="I22" s="27">
        <f>'Energibehov før tiltak'!$C$6</f>
        <v>29.8</v>
      </c>
      <c r="J22" s="27">
        <f>SUM('Energibehov før tiltak'!$C$5,'Energibehov før tiltak'!$C$7:$C$12)</f>
        <v>29.9</v>
      </c>
      <c r="K22" s="34">
        <f t="shared" si="0"/>
        <v>201.10000000000002</v>
      </c>
      <c r="L22" s="26">
        <f>1-E22/H22</f>
        <v>0.94</v>
      </c>
      <c r="M22" s="26">
        <v>1</v>
      </c>
      <c r="N22" s="26">
        <v>1</v>
      </c>
    </row>
    <row r="23" spans="1:14">
      <c r="A23" s="28" t="s">
        <v>4</v>
      </c>
      <c r="B23" s="28" t="s">
        <v>29</v>
      </c>
      <c r="C23" s="28" t="s">
        <v>11</v>
      </c>
      <c r="D23" s="28">
        <v>1</v>
      </c>
      <c r="E23" s="78">
        <f t="shared" ref="E23:G25" si="3">(1-L23)*H23</f>
        <v>46.276363636363619</v>
      </c>
      <c r="F23" s="78">
        <f t="shared" si="3"/>
        <v>0</v>
      </c>
      <c r="G23" s="78">
        <f t="shared" si="3"/>
        <v>0</v>
      </c>
      <c r="H23" s="27">
        <f>'Energibehov før tiltak'!$C$4</f>
        <v>141.4</v>
      </c>
      <c r="I23" s="27">
        <f>'Energibehov før tiltak'!$C$6</f>
        <v>29.8</v>
      </c>
      <c r="J23" s="27">
        <f>SUM('Energibehov før tiltak'!$C$5,'Energibehov før tiltak'!$C$7:$C$12)</f>
        <v>29.9</v>
      </c>
      <c r="K23" s="34">
        <f t="shared" si="0"/>
        <v>201.10000000000002</v>
      </c>
      <c r="L23" s="26">
        <f>'Regler varmepumper'!D24</f>
        <v>0.67272727272727284</v>
      </c>
      <c r="M23" s="26">
        <f>'Regler varmepumper'!D25</f>
        <v>1</v>
      </c>
      <c r="N23" s="26">
        <f>'Regler varmepumper'!D26</f>
        <v>1</v>
      </c>
    </row>
    <row r="24" spans="1:14">
      <c r="A24" s="28" t="s">
        <v>4</v>
      </c>
      <c r="B24" s="28" t="s">
        <v>29</v>
      </c>
      <c r="C24" s="28" t="s">
        <v>12</v>
      </c>
      <c r="D24" s="28">
        <v>1</v>
      </c>
      <c r="E24" s="78">
        <f t="shared" si="3"/>
        <v>67.872</v>
      </c>
      <c r="F24" s="78">
        <f t="shared" si="3"/>
        <v>8.9400000000000013</v>
      </c>
      <c r="G24" s="78">
        <f t="shared" si="3"/>
        <v>0</v>
      </c>
      <c r="H24" s="27">
        <f>'Energibehov før tiltak'!$C$4</f>
        <v>141.4</v>
      </c>
      <c r="I24" s="27">
        <f>'Energibehov før tiltak'!$C$6</f>
        <v>29.8</v>
      </c>
      <c r="J24" s="27">
        <f>SUM('Energibehov før tiltak'!$C$5,'Energibehov før tiltak'!$C$7:$C$12)</f>
        <v>29.9</v>
      </c>
      <c r="K24" s="34">
        <f t="shared" si="0"/>
        <v>201.10000000000002</v>
      </c>
      <c r="L24" s="26">
        <f>'Regler varmepumper'!D27</f>
        <v>0.52</v>
      </c>
      <c r="M24" s="26">
        <f>'Regler varmepumper'!D28</f>
        <v>0.7</v>
      </c>
      <c r="N24" s="26">
        <f>'Regler varmepumper'!D29</f>
        <v>1</v>
      </c>
    </row>
    <row r="25" spans="1:14">
      <c r="A25" s="28" t="s">
        <v>4</v>
      </c>
      <c r="B25" s="28" t="s">
        <v>29</v>
      </c>
      <c r="C25" s="28" t="s">
        <v>13</v>
      </c>
      <c r="D25" s="28">
        <v>1</v>
      </c>
      <c r="E25" s="78">
        <f t="shared" si="3"/>
        <v>95.95</v>
      </c>
      <c r="F25" s="78">
        <f t="shared" si="3"/>
        <v>10.728</v>
      </c>
      <c r="G25" s="78">
        <f t="shared" si="3"/>
        <v>0</v>
      </c>
      <c r="H25" s="27">
        <f>'Energibehov før tiltak'!$C$4</f>
        <v>141.4</v>
      </c>
      <c r="I25" s="27">
        <f>'Energibehov før tiltak'!$C$6</f>
        <v>29.8</v>
      </c>
      <c r="J25" s="27">
        <f>SUM('Energibehov før tiltak'!$C$5,'Energibehov før tiltak'!$C$7:$C$12)</f>
        <v>29.9</v>
      </c>
      <c r="K25" s="34">
        <f t="shared" si="0"/>
        <v>201.10000000000002</v>
      </c>
      <c r="L25" s="26">
        <f>'Regler varmepumper'!D30</f>
        <v>0.3214285714285714</v>
      </c>
      <c r="M25" s="26">
        <f>'Regler varmepumper'!D31</f>
        <v>0.64</v>
      </c>
      <c r="N25" s="26">
        <f>'Regler varmepumper'!D32</f>
        <v>1</v>
      </c>
    </row>
    <row r="26" spans="1:14">
      <c r="A26" s="28" t="s">
        <v>28</v>
      </c>
      <c r="B26" s="28" t="s">
        <v>29</v>
      </c>
      <c r="C26" s="28" t="s">
        <v>6</v>
      </c>
      <c r="D26" s="28">
        <v>1</v>
      </c>
      <c r="E26" s="80">
        <v>9.7000000000000171</v>
      </c>
      <c r="F26" s="79">
        <v>0</v>
      </c>
      <c r="G26" s="79">
        <v>0</v>
      </c>
      <c r="H26" s="27">
        <f>'Energibehov før tiltak'!$I$4</f>
        <v>111.9</v>
      </c>
      <c r="I26" s="27">
        <f>'Energibehov før tiltak'!$I$6</f>
        <v>29.8</v>
      </c>
      <c r="J26" s="27">
        <f>SUM('Energibehov før tiltak'!$I$5,'Energibehov før tiltak'!$I$7:$I$12)</f>
        <v>29.700000000000003</v>
      </c>
      <c r="K26" s="34">
        <f t="shared" si="0"/>
        <v>171.40000000000003</v>
      </c>
      <c r="L26" s="26">
        <f>1-E26/H26</f>
        <v>0.91331546023235011</v>
      </c>
      <c r="M26" s="26">
        <v>1</v>
      </c>
      <c r="N26" s="26">
        <v>1</v>
      </c>
    </row>
    <row r="27" spans="1:14">
      <c r="A27" s="28" t="s">
        <v>28</v>
      </c>
      <c r="B27" s="28" t="s">
        <v>29</v>
      </c>
      <c r="C27" s="28" t="s">
        <v>7</v>
      </c>
      <c r="D27" s="28">
        <v>1</v>
      </c>
      <c r="E27" s="80">
        <v>2.8000000000000114</v>
      </c>
      <c r="F27" s="79">
        <v>0</v>
      </c>
      <c r="G27" s="79">
        <v>0</v>
      </c>
      <c r="H27" s="27">
        <f>'Energibehov før tiltak'!$I$4</f>
        <v>111.9</v>
      </c>
      <c r="I27" s="27">
        <f>'Energibehov før tiltak'!$I$6</f>
        <v>29.8</v>
      </c>
      <c r="J27" s="27">
        <f>SUM('Energibehov før tiltak'!$I$5,'Energibehov før tiltak'!$I$7:$I$12)</f>
        <v>29.700000000000003</v>
      </c>
      <c r="K27" s="34">
        <f t="shared" si="0"/>
        <v>171.40000000000003</v>
      </c>
      <c r="L27" s="26">
        <f>1-E27/H27</f>
        <v>0.97497765862377117</v>
      </c>
      <c r="M27" s="26">
        <v>1</v>
      </c>
      <c r="N27" s="26">
        <v>1</v>
      </c>
    </row>
    <row r="28" spans="1:14">
      <c r="A28" s="28" t="s">
        <v>28</v>
      </c>
      <c r="B28" s="28" t="s">
        <v>29</v>
      </c>
      <c r="C28" s="28" t="s">
        <v>8</v>
      </c>
      <c r="D28" s="28">
        <v>1</v>
      </c>
      <c r="E28" s="80">
        <v>21</v>
      </c>
      <c r="F28" s="79">
        <v>0</v>
      </c>
      <c r="G28" s="79">
        <v>0</v>
      </c>
      <c r="H28" s="27">
        <f>'Energibehov før tiltak'!$I$4</f>
        <v>111.9</v>
      </c>
      <c r="I28" s="27">
        <f>'Energibehov før tiltak'!$I$6</f>
        <v>29.8</v>
      </c>
      <c r="J28" s="27">
        <f>SUM('Energibehov før tiltak'!$I$5,'Energibehov før tiltak'!$I$7:$I$12)</f>
        <v>29.700000000000003</v>
      </c>
      <c r="K28" s="34">
        <f t="shared" si="0"/>
        <v>171.40000000000003</v>
      </c>
      <c r="L28" s="26">
        <f>1-E28/H28</f>
        <v>0.81233243967828417</v>
      </c>
      <c r="M28" s="26">
        <v>1</v>
      </c>
      <c r="N28" s="26">
        <v>1</v>
      </c>
    </row>
    <row r="29" spans="1:14">
      <c r="A29" s="28" t="s">
        <v>28</v>
      </c>
      <c r="B29" s="28" t="s">
        <v>29</v>
      </c>
      <c r="C29" s="28" t="s">
        <v>9</v>
      </c>
      <c r="D29" s="28">
        <v>1</v>
      </c>
      <c r="E29" s="80">
        <v>28.099999999999994</v>
      </c>
      <c r="F29" s="79">
        <v>0</v>
      </c>
      <c r="G29" s="79">
        <v>0</v>
      </c>
      <c r="H29" s="27">
        <f>'Energibehov før tiltak'!$I$4</f>
        <v>111.9</v>
      </c>
      <c r="I29" s="27">
        <f>'Energibehov før tiltak'!$I$6</f>
        <v>29.8</v>
      </c>
      <c r="J29" s="27">
        <f>SUM('Energibehov før tiltak'!$I$5,'Energibehov før tiltak'!$I$7:$I$12)</f>
        <v>29.700000000000003</v>
      </c>
      <c r="K29" s="34">
        <f t="shared" si="0"/>
        <v>171.40000000000003</v>
      </c>
      <c r="L29" s="26">
        <f>1-E29/H29</f>
        <v>0.7488829311885612</v>
      </c>
      <c r="M29" s="26">
        <v>1</v>
      </c>
      <c r="N29" s="26">
        <v>1</v>
      </c>
    </row>
    <row r="30" spans="1:14">
      <c r="A30" s="28" t="s">
        <v>28</v>
      </c>
      <c r="B30" s="28" t="s">
        <v>29</v>
      </c>
      <c r="C30" s="28" t="s">
        <v>10</v>
      </c>
      <c r="D30" s="28">
        <v>0</v>
      </c>
      <c r="E30" s="80">
        <v>5.5950000000000006</v>
      </c>
      <c r="F30" s="79">
        <v>0</v>
      </c>
      <c r="G30" s="79">
        <v>0</v>
      </c>
      <c r="H30" s="27">
        <f>'Energibehov før tiltak'!$I$4</f>
        <v>111.9</v>
      </c>
      <c r="I30" s="27">
        <f>'Energibehov før tiltak'!$I$6</f>
        <v>29.8</v>
      </c>
      <c r="J30" s="27">
        <f>SUM('Energibehov før tiltak'!$I$5,'Energibehov før tiltak'!$I$7:$I$12)</f>
        <v>29.700000000000003</v>
      </c>
      <c r="K30" s="34">
        <f t="shared" si="0"/>
        <v>171.40000000000003</v>
      </c>
      <c r="L30" s="26">
        <f>1-E30/H30</f>
        <v>0.95</v>
      </c>
      <c r="M30" s="26">
        <v>1</v>
      </c>
      <c r="N30" s="26">
        <v>1</v>
      </c>
    </row>
    <row r="31" spans="1:14">
      <c r="A31" s="28" t="s">
        <v>28</v>
      </c>
      <c r="B31" s="28" t="s">
        <v>29</v>
      </c>
      <c r="C31" s="28" t="s">
        <v>11</v>
      </c>
      <c r="D31" s="28">
        <v>1</v>
      </c>
      <c r="E31" s="78">
        <f t="shared" ref="E31:G33" si="4">(1-L31)*H31</f>
        <v>36.621818181818171</v>
      </c>
      <c r="F31" s="78">
        <f t="shared" si="4"/>
        <v>0</v>
      </c>
      <c r="G31" s="78">
        <f t="shared" si="4"/>
        <v>0</v>
      </c>
      <c r="H31" s="27">
        <f>'Energibehov før tiltak'!$I$4</f>
        <v>111.9</v>
      </c>
      <c r="I31" s="27">
        <f>'Energibehov før tiltak'!$I$6</f>
        <v>29.8</v>
      </c>
      <c r="J31" s="27">
        <f>SUM('Energibehov før tiltak'!$I$5,'Energibehov før tiltak'!$I$7:$I$12)</f>
        <v>29.700000000000003</v>
      </c>
      <c r="K31" s="34">
        <f t="shared" si="0"/>
        <v>171.40000000000003</v>
      </c>
      <c r="L31" s="26">
        <f>'Regler varmepumper'!J24</f>
        <v>0.67272727272727284</v>
      </c>
      <c r="M31" s="26">
        <f>'Regler varmepumper'!J25</f>
        <v>1</v>
      </c>
      <c r="N31" s="26">
        <f>'Regler varmepumper'!J26</f>
        <v>1</v>
      </c>
    </row>
    <row r="32" spans="1:14">
      <c r="A32" s="28" t="s">
        <v>28</v>
      </c>
      <c r="B32" s="28" t="s">
        <v>29</v>
      </c>
      <c r="C32" s="28" t="s">
        <v>12</v>
      </c>
      <c r="D32" s="28">
        <v>1</v>
      </c>
      <c r="E32" s="78">
        <f t="shared" si="4"/>
        <v>53.712000000000003</v>
      </c>
      <c r="F32" s="78">
        <f t="shared" si="4"/>
        <v>8.9400000000000013</v>
      </c>
      <c r="G32" s="78">
        <f t="shared" si="4"/>
        <v>0</v>
      </c>
      <c r="H32" s="27">
        <f>'Energibehov før tiltak'!$I$4</f>
        <v>111.9</v>
      </c>
      <c r="I32" s="27">
        <f>'Energibehov før tiltak'!$I$6</f>
        <v>29.8</v>
      </c>
      <c r="J32" s="27">
        <f>SUM('Energibehov før tiltak'!$I$5,'Energibehov før tiltak'!$I$7:$I$12)</f>
        <v>29.700000000000003</v>
      </c>
      <c r="K32" s="34">
        <f t="shared" si="0"/>
        <v>171.40000000000003</v>
      </c>
      <c r="L32" s="26">
        <f>'Regler varmepumper'!J27</f>
        <v>0.52</v>
      </c>
      <c r="M32" s="26">
        <f>'Regler varmepumper'!J28</f>
        <v>0.7</v>
      </c>
      <c r="N32" s="26">
        <f>'Regler varmepumper'!J29</f>
        <v>1</v>
      </c>
    </row>
    <row r="33" spans="1:14">
      <c r="A33" s="28" t="s">
        <v>28</v>
      </c>
      <c r="B33" s="28" t="s">
        <v>29</v>
      </c>
      <c r="C33" s="28" t="s">
        <v>13</v>
      </c>
      <c r="D33" s="28">
        <v>1</v>
      </c>
      <c r="E33" s="78">
        <f t="shared" si="4"/>
        <v>75.932142857142864</v>
      </c>
      <c r="F33" s="78">
        <f t="shared" si="4"/>
        <v>10.728</v>
      </c>
      <c r="G33" s="78">
        <f t="shared" si="4"/>
        <v>0</v>
      </c>
      <c r="H33" s="27">
        <f>'Energibehov før tiltak'!$I$4</f>
        <v>111.9</v>
      </c>
      <c r="I33" s="27">
        <f>'Energibehov før tiltak'!$I$6</f>
        <v>29.8</v>
      </c>
      <c r="J33" s="27">
        <f>SUM('Energibehov før tiltak'!$I$5,'Energibehov før tiltak'!$I$7:$I$12)</f>
        <v>29.700000000000003</v>
      </c>
      <c r="K33" s="34">
        <f t="shared" si="0"/>
        <v>171.40000000000003</v>
      </c>
      <c r="L33" s="26">
        <f>'Regler varmepumper'!J30</f>
        <v>0.3214285714285714</v>
      </c>
      <c r="M33" s="26">
        <f>'Regler varmepumper'!J31</f>
        <v>0.64</v>
      </c>
      <c r="N33" s="26">
        <f>'Regler varmepumper'!J32</f>
        <v>1</v>
      </c>
    </row>
    <row r="34" spans="1:14">
      <c r="A34" s="28" t="s">
        <v>4</v>
      </c>
      <c r="B34" s="28" t="s">
        <v>30</v>
      </c>
      <c r="C34" s="28" t="s">
        <v>6</v>
      </c>
      <c r="D34" s="28">
        <v>1</v>
      </c>
      <c r="E34" s="80">
        <v>3.6999999999999886</v>
      </c>
      <c r="F34" s="79">
        <v>0</v>
      </c>
      <c r="G34" s="79">
        <v>0</v>
      </c>
      <c r="H34" s="27">
        <f>'Energibehov før tiltak'!$D$4</f>
        <v>102.9</v>
      </c>
      <c r="I34" s="27">
        <f>'Energibehov før tiltak'!$D$6</f>
        <v>29.8</v>
      </c>
      <c r="J34" s="27">
        <f>SUM('Energibehov før tiltak'!$D$5,'Energibehov før tiltak'!$D$7:$D$12)</f>
        <v>34.1</v>
      </c>
      <c r="K34" s="34">
        <f t="shared" ref="K34:K65" si="5">SUM(H34:J34)</f>
        <v>166.8</v>
      </c>
      <c r="L34" s="26">
        <f>1-E34/H34</f>
        <v>0.96404275996112743</v>
      </c>
      <c r="M34" s="26">
        <v>1</v>
      </c>
      <c r="N34" s="26">
        <v>1</v>
      </c>
    </row>
    <row r="35" spans="1:14">
      <c r="A35" s="28" t="s">
        <v>4</v>
      </c>
      <c r="B35" s="28" t="s">
        <v>30</v>
      </c>
      <c r="C35" s="28" t="s">
        <v>7</v>
      </c>
      <c r="D35" s="28">
        <v>1</v>
      </c>
      <c r="E35" s="80">
        <v>0.40000000000000568</v>
      </c>
      <c r="F35" s="79">
        <v>0</v>
      </c>
      <c r="G35" s="79">
        <v>0</v>
      </c>
      <c r="H35" s="27">
        <f>'Energibehov før tiltak'!$D$4</f>
        <v>102.9</v>
      </c>
      <c r="I35" s="27">
        <f>'Energibehov før tiltak'!$D$6</f>
        <v>29.8</v>
      </c>
      <c r="J35" s="27">
        <f>SUM('Energibehov før tiltak'!$D$5,'Energibehov før tiltak'!$D$7:$D$12)</f>
        <v>34.1</v>
      </c>
      <c r="K35" s="34">
        <f t="shared" si="5"/>
        <v>166.8</v>
      </c>
      <c r="L35" s="26">
        <f>1-E35/H35</f>
        <v>0.99611273080660834</v>
      </c>
      <c r="M35" s="26">
        <v>1</v>
      </c>
      <c r="N35" s="26">
        <v>1</v>
      </c>
    </row>
    <row r="36" spans="1:14">
      <c r="A36" s="28" t="s">
        <v>4</v>
      </c>
      <c r="B36" s="28" t="s">
        <v>30</v>
      </c>
      <c r="C36" s="28" t="s">
        <v>8</v>
      </c>
      <c r="D36" s="28">
        <v>1</v>
      </c>
      <c r="E36" s="80">
        <v>14.199999999999989</v>
      </c>
      <c r="F36" s="79">
        <v>0</v>
      </c>
      <c r="G36" s="79">
        <v>0</v>
      </c>
      <c r="H36" s="27">
        <f>'Energibehov før tiltak'!$D$4</f>
        <v>102.9</v>
      </c>
      <c r="I36" s="27">
        <f>'Energibehov før tiltak'!$D$6</f>
        <v>29.8</v>
      </c>
      <c r="J36" s="27">
        <f>SUM('Energibehov før tiltak'!$D$5,'Energibehov før tiltak'!$D$7:$D$12)</f>
        <v>34.1</v>
      </c>
      <c r="K36" s="34">
        <f t="shared" si="5"/>
        <v>166.8</v>
      </c>
      <c r="L36" s="26">
        <f>1-E36/H36</f>
        <v>0.86200194363459681</v>
      </c>
      <c r="M36" s="26">
        <v>1</v>
      </c>
      <c r="N36" s="26">
        <v>1</v>
      </c>
    </row>
    <row r="37" spans="1:14">
      <c r="A37" s="28" t="s">
        <v>4</v>
      </c>
      <c r="B37" s="28" t="s">
        <v>30</v>
      </c>
      <c r="C37" s="28" t="s">
        <v>9</v>
      </c>
      <c r="D37" s="28">
        <v>1</v>
      </c>
      <c r="E37" s="80">
        <v>14.199999999999989</v>
      </c>
      <c r="F37" s="79">
        <v>0</v>
      </c>
      <c r="G37" s="79">
        <v>0</v>
      </c>
      <c r="H37" s="27">
        <f>'Energibehov før tiltak'!$D$4</f>
        <v>102.9</v>
      </c>
      <c r="I37" s="27">
        <f>'Energibehov før tiltak'!$D$6</f>
        <v>29.8</v>
      </c>
      <c r="J37" s="27">
        <f>SUM('Energibehov før tiltak'!$D$5,'Energibehov før tiltak'!$D$7:$D$12)</f>
        <v>34.1</v>
      </c>
      <c r="K37" s="34">
        <f t="shared" si="5"/>
        <v>166.8</v>
      </c>
      <c r="L37" s="26">
        <f>1-E37/H37</f>
        <v>0.86200194363459681</v>
      </c>
      <c r="M37" s="26">
        <v>1</v>
      </c>
      <c r="N37" s="26">
        <v>1</v>
      </c>
    </row>
    <row r="38" spans="1:14">
      <c r="A38" s="28" t="s">
        <v>4</v>
      </c>
      <c r="B38" s="28" t="s">
        <v>30</v>
      </c>
      <c r="C38" s="28" t="s">
        <v>10</v>
      </c>
      <c r="D38" s="28">
        <v>0</v>
      </c>
      <c r="E38" s="80">
        <v>0</v>
      </c>
      <c r="F38" s="79">
        <v>0</v>
      </c>
      <c r="G38" s="79">
        <v>0</v>
      </c>
      <c r="H38" s="27">
        <f>'Energibehov før tiltak'!$D$4</f>
        <v>102.9</v>
      </c>
      <c r="I38" s="27">
        <f>'Energibehov før tiltak'!$D$6</f>
        <v>29.8</v>
      </c>
      <c r="J38" s="27">
        <f>SUM('Energibehov før tiltak'!$D$5,'Energibehov før tiltak'!$D$7:$D$12)</f>
        <v>34.1</v>
      </c>
      <c r="K38" s="34">
        <f t="shared" si="5"/>
        <v>166.8</v>
      </c>
      <c r="L38" s="26">
        <f>1-E38/H38</f>
        <v>1</v>
      </c>
      <c r="M38" s="26">
        <v>1</v>
      </c>
      <c r="N38" s="26">
        <v>1</v>
      </c>
    </row>
    <row r="39" spans="1:14">
      <c r="A39" s="28" t="s">
        <v>4</v>
      </c>
      <c r="B39" s="28" t="s">
        <v>30</v>
      </c>
      <c r="C39" s="28" t="s">
        <v>11</v>
      </c>
      <c r="D39" s="28">
        <v>1</v>
      </c>
      <c r="E39" s="78">
        <f t="shared" ref="E39:G41" si="6">(1-L39)*H39</f>
        <v>33.676363636363625</v>
      </c>
      <c r="F39" s="78">
        <f t="shared" si="6"/>
        <v>0</v>
      </c>
      <c r="G39" s="78">
        <f t="shared" si="6"/>
        <v>0</v>
      </c>
      <c r="H39" s="27">
        <f>'Energibehov før tiltak'!$D$4</f>
        <v>102.9</v>
      </c>
      <c r="I39" s="27">
        <f>'Energibehov før tiltak'!$D$6</f>
        <v>29.8</v>
      </c>
      <c r="J39" s="27">
        <f>SUM('Energibehov før tiltak'!$D$5,'Energibehov før tiltak'!$D$7:$D$12)</f>
        <v>34.1</v>
      </c>
      <c r="K39" s="34">
        <f t="shared" si="5"/>
        <v>166.8</v>
      </c>
      <c r="L39" s="26">
        <f>'Regler varmepumper'!E24</f>
        <v>0.67272727272727284</v>
      </c>
      <c r="M39" s="26">
        <f>'Regler varmepumper'!E25</f>
        <v>1</v>
      </c>
      <c r="N39" s="26">
        <f>'Regler varmepumper'!E26</f>
        <v>1</v>
      </c>
    </row>
    <row r="40" spans="1:14">
      <c r="A40" s="28" t="s">
        <v>4</v>
      </c>
      <c r="B40" s="28" t="s">
        <v>30</v>
      </c>
      <c r="C40" s="28" t="s">
        <v>12</v>
      </c>
      <c r="D40" s="28">
        <v>1</v>
      </c>
      <c r="E40" s="78">
        <f t="shared" si="6"/>
        <v>49.392000000000003</v>
      </c>
      <c r="F40" s="78">
        <f t="shared" si="6"/>
        <v>8.9400000000000013</v>
      </c>
      <c r="G40" s="78">
        <f t="shared" si="6"/>
        <v>0</v>
      </c>
      <c r="H40" s="27">
        <f>'Energibehov før tiltak'!$D$4</f>
        <v>102.9</v>
      </c>
      <c r="I40" s="27">
        <f>'Energibehov før tiltak'!$D$6</f>
        <v>29.8</v>
      </c>
      <c r="J40" s="27">
        <f>SUM('Energibehov før tiltak'!$D$5,'Energibehov før tiltak'!$D$7:$D$12)</f>
        <v>34.1</v>
      </c>
      <c r="K40" s="34">
        <f t="shared" si="5"/>
        <v>166.8</v>
      </c>
      <c r="L40" s="26">
        <f>'Regler varmepumper'!E27</f>
        <v>0.52</v>
      </c>
      <c r="M40" s="26">
        <f>'Regler varmepumper'!E28</f>
        <v>0.7</v>
      </c>
      <c r="N40" s="26">
        <f>'Regler varmepumper'!E29</f>
        <v>1</v>
      </c>
    </row>
    <row r="41" spans="1:14">
      <c r="A41" s="28" t="s">
        <v>4</v>
      </c>
      <c r="B41" s="28" t="s">
        <v>30</v>
      </c>
      <c r="C41" s="28" t="s">
        <v>13</v>
      </c>
      <c r="D41" s="28">
        <v>1</v>
      </c>
      <c r="E41" s="78">
        <f t="shared" si="6"/>
        <v>69.825000000000003</v>
      </c>
      <c r="F41" s="78">
        <f t="shared" si="6"/>
        <v>10.728</v>
      </c>
      <c r="G41" s="78">
        <f t="shared" si="6"/>
        <v>0</v>
      </c>
      <c r="H41" s="27">
        <f>'Energibehov før tiltak'!$D$4</f>
        <v>102.9</v>
      </c>
      <c r="I41" s="27">
        <f>'Energibehov før tiltak'!$D$6</f>
        <v>29.8</v>
      </c>
      <c r="J41" s="27">
        <f>SUM('Energibehov før tiltak'!$D$5,'Energibehov før tiltak'!$D$7:$D$12)</f>
        <v>34.1</v>
      </c>
      <c r="K41" s="34">
        <f t="shared" si="5"/>
        <v>166.8</v>
      </c>
      <c r="L41" s="26">
        <f>'Regler varmepumper'!E30</f>
        <v>0.3214285714285714</v>
      </c>
      <c r="M41" s="26">
        <f>'Regler varmepumper'!E31</f>
        <v>0.64</v>
      </c>
      <c r="N41" s="26">
        <f>'Regler varmepumper'!E32</f>
        <v>1</v>
      </c>
    </row>
    <row r="42" spans="1:14">
      <c r="A42" s="28" t="s">
        <v>28</v>
      </c>
      <c r="B42" s="28" t="s">
        <v>30</v>
      </c>
      <c r="C42" s="28" t="s">
        <v>6</v>
      </c>
      <c r="D42" s="28">
        <v>1</v>
      </c>
      <c r="E42" s="80">
        <v>7.3000000000000114</v>
      </c>
      <c r="F42" s="79">
        <v>0</v>
      </c>
      <c r="G42" s="79">
        <v>0</v>
      </c>
      <c r="H42" s="27">
        <f>'Energibehov før tiltak'!$J$4</f>
        <v>89.1</v>
      </c>
      <c r="I42" s="27">
        <f>'Energibehov før tiltak'!$J$6</f>
        <v>29.8</v>
      </c>
      <c r="J42" s="27">
        <f>SUM('Energibehov før tiltak'!$J$5,'Energibehov før tiltak'!$J$7:$J$12)</f>
        <v>35</v>
      </c>
      <c r="K42" s="34">
        <f t="shared" si="5"/>
        <v>153.89999999999998</v>
      </c>
      <c r="L42" s="26">
        <f>1-E42/H42</f>
        <v>0.91806958473625122</v>
      </c>
      <c r="M42" s="26">
        <v>1</v>
      </c>
      <c r="N42" s="26">
        <v>1</v>
      </c>
    </row>
    <row r="43" spans="1:14">
      <c r="A43" s="28" t="s">
        <v>28</v>
      </c>
      <c r="B43" s="28" t="s">
        <v>30</v>
      </c>
      <c r="C43" s="28" t="s">
        <v>7</v>
      </c>
      <c r="D43" s="28">
        <v>1</v>
      </c>
      <c r="E43" s="80">
        <v>0</v>
      </c>
      <c r="F43" s="79">
        <v>0</v>
      </c>
      <c r="G43" s="79">
        <v>0</v>
      </c>
      <c r="H43" s="27">
        <f>'Energibehov før tiltak'!$J$4</f>
        <v>89.1</v>
      </c>
      <c r="I43" s="27">
        <f>'Energibehov før tiltak'!$J$6</f>
        <v>29.8</v>
      </c>
      <c r="J43" s="27">
        <f>SUM('Energibehov før tiltak'!$J$5,'Energibehov før tiltak'!$J$7:$J$12)</f>
        <v>35</v>
      </c>
      <c r="K43" s="34">
        <f t="shared" si="5"/>
        <v>153.89999999999998</v>
      </c>
      <c r="L43" s="26">
        <f>1-E43/H43</f>
        <v>1</v>
      </c>
      <c r="M43" s="26">
        <v>1</v>
      </c>
      <c r="N43" s="26">
        <v>1</v>
      </c>
    </row>
    <row r="44" spans="1:14">
      <c r="A44" s="28" t="s">
        <v>28</v>
      </c>
      <c r="B44" s="28" t="s">
        <v>30</v>
      </c>
      <c r="C44" s="28" t="s">
        <v>8</v>
      </c>
      <c r="D44" s="28">
        <v>1</v>
      </c>
      <c r="E44" s="80">
        <v>12.100000000000023</v>
      </c>
      <c r="F44" s="79">
        <v>0</v>
      </c>
      <c r="G44" s="79">
        <v>0</v>
      </c>
      <c r="H44" s="27">
        <f>'Energibehov før tiltak'!$J$4</f>
        <v>89.1</v>
      </c>
      <c r="I44" s="27">
        <f>'Energibehov før tiltak'!$J$6</f>
        <v>29.8</v>
      </c>
      <c r="J44" s="27">
        <f>SUM('Energibehov før tiltak'!$J$5,'Energibehov før tiltak'!$J$7:$J$12)</f>
        <v>35</v>
      </c>
      <c r="K44" s="34">
        <f t="shared" si="5"/>
        <v>153.89999999999998</v>
      </c>
      <c r="L44" s="26">
        <f>1-E44/H44</f>
        <v>0.86419753086419726</v>
      </c>
      <c r="M44" s="26">
        <v>1</v>
      </c>
      <c r="N44" s="26">
        <v>1</v>
      </c>
    </row>
    <row r="45" spans="1:14">
      <c r="A45" s="28" t="s">
        <v>28</v>
      </c>
      <c r="B45" s="28" t="s">
        <v>30</v>
      </c>
      <c r="C45" s="28" t="s">
        <v>9</v>
      </c>
      <c r="D45" s="28">
        <v>1</v>
      </c>
      <c r="E45" s="80">
        <v>12.100000000000023</v>
      </c>
      <c r="F45" s="79">
        <v>0</v>
      </c>
      <c r="G45" s="79">
        <v>0</v>
      </c>
      <c r="H45" s="27">
        <f>'Energibehov før tiltak'!$J$4</f>
        <v>89.1</v>
      </c>
      <c r="I45" s="27">
        <f>'Energibehov før tiltak'!$J$6</f>
        <v>29.8</v>
      </c>
      <c r="J45" s="27">
        <f>SUM('Energibehov før tiltak'!$J$5,'Energibehov før tiltak'!$J$7:$J$12)</f>
        <v>35</v>
      </c>
      <c r="K45" s="34">
        <f t="shared" si="5"/>
        <v>153.89999999999998</v>
      </c>
      <c r="L45" s="26">
        <f>1-E45/H45</f>
        <v>0.86419753086419726</v>
      </c>
      <c r="M45" s="26">
        <v>1</v>
      </c>
      <c r="N45" s="26">
        <v>1</v>
      </c>
    </row>
    <row r="46" spans="1:14">
      <c r="A46" s="28" t="s">
        <v>28</v>
      </c>
      <c r="B46" s="28" t="s">
        <v>30</v>
      </c>
      <c r="C46" s="28" t="s">
        <v>10</v>
      </c>
      <c r="D46" s="28">
        <v>0</v>
      </c>
      <c r="E46" s="80">
        <v>0</v>
      </c>
      <c r="F46" s="79">
        <v>0</v>
      </c>
      <c r="G46" s="79">
        <v>0</v>
      </c>
      <c r="H46" s="27">
        <f>'Energibehov før tiltak'!$J$4</f>
        <v>89.1</v>
      </c>
      <c r="I46" s="27">
        <f>'Energibehov før tiltak'!$J$6</f>
        <v>29.8</v>
      </c>
      <c r="J46" s="27">
        <f>SUM('Energibehov før tiltak'!$J$5,'Energibehov før tiltak'!$J$7:$J$12)</f>
        <v>35</v>
      </c>
      <c r="K46" s="34">
        <f t="shared" si="5"/>
        <v>153.89999999999998</v>
      </c>
      <c r="L46" s="26">
        <f>1-E46/H46</f>
        <v>1</v>
      </c>
      <c r="M46" s="26">
        <v>1</v>
      </c>
      <c r="N46" s="26">
        <v>1</v>
      </c>
    </row>
    <row r="47" spans="1:14">
      <c r="A47" s="28" t="s">
        <v>28</v>
      </c>
      <c r="B47" s="28" t="s">
        <v>30</v>
      </c>
      <c r="C47" s="28" t="s">
        <v>11</v>
      </c>
      <c r="D47" s="28">
        <v>1</v>
      </c>
      <c r="E47" s="78">
        <f t="shared" ref="E47:G49" si="7">(1-L47)*H47</f>
        <v>29.159999999999989</v>
      </c>
      <c r="F47" s="78">
        <f t="shared" si="7"/>
        <v>0</v>
      </c>
      <c r="G47" s="78">
        <f t="shared" si="7"/>
        <v>0</v>
      </c>
      <c r="H47" s="27">
        <f>'Energibehov før tiltak'!$J$4</f>
        <v>89.1</v>
      </c>
      <c r="I47" s="27">
        <f>'Energibehov før tiltak'!$J$6</f>
        <v>29.8</v>
      </c>
      <c r="J47" s="27">
        <f>SUM('Energibehov før tiltak'!$J$5,'Energibehov før tiltak'!$J$7:$J$12)</f>
        <v>35</v>
      </c>
      <c r="K47" s="34">
        <f t="shared" si="5"/>
        <v>153.89999999999998</v>
      </c>
      <c r="L47" s="26">
        <f>'Regler varmepumper'!K24</f>
        <v>0.67272727272727284</v>
      </c>
      <c r="M47" s="26">
        <f>'Regler varmepumper'!K25</f>
        <v>1</v>
      </c>
      <c r="N47" s="26">
        <f>'Regler varmepumper'!K26</f>
        <v>1</v>
      </c>
    </row>
    <row r="48" spans="1:14">
      <c r="A48" s="28" t="s">
        <v>28</v>
      </c>
      <c r="B48" s="28" t="s">
        <v>30</v>
      </c>
      <c r="C48" s="28" t="s">
        <v>12</v>
      </c>
      <c r="D48" s="28">
        <v>1</v>
      </c>
      <c r="E48" s="78">
        <f t="shared" si="7"/>
        <v>42.767999999999994</v>
      </c>
      <c r="F48" s="78">
        <f t="shared" si="7"/>
        <v>8.9400000000000013</v>
      </c>
      <c r="G48" s="78">
        <f t="shared" si="7"/>
        <v>0</v>
      </c>
      <c r="H48" s="27">
        <f>'Energibehov før tiltak'!$J$4</f>
        <v>89.1</v>
      </c>
      <c r="I48" s="27">
        <f>'Energibehov før tiltak'!$J$6</f>
        <v>29.8</v>
      </c>
      <c r="J48" s="27">
        <f>SUM('Energibehov før tiltak'!$J$5,'Energibehov før tiltak'!$J$7:$J$12)</f>
        <v>35</v>
      </c>
      <c r="K48" s="34">
        <f t="shared" si="5"/>
        <v>153.89999999999998</v>
      </c>
      <c r="L48" s="26">
        <f>'Regler varmepumper'!K27</f>
        <v>0.52</v>
      </c>
      <c r="M48" s="26">
        <f>'Regler varmepumper'!K28</f>
        <v>0.7</v>
      </c>
      <c r="N48" s="26">
        <f>'Regler varmepumper'!K29</f>
        <v>1</v>
      </c>
    </row>
    <row r="49" spans="1:14">
      <c r="A49" s="28" t="s">
        <v>28</v>
      </c>
      <c r="B49" s="28" t="s">
        <v>30</v>
      </c>
      <c r="C49" s="28" t="s">
        <v>13</v>
      </c>
      <c r="D49" s="28">
        <v>1</v>
      </c>
      <c r="E49" s="78">
        <f t="shared" si="7"/>
        <v>60.460714285714282</v>
      </c>
      <c r="F49" s="78">
        <f t="shared" si="7"/>
        <v>10.728</v>
      </c>
      <c r="G49" s="78">
        <f t="shared" si="7"/>
        <v>0</v>
      </c>
      <c r="H49" s="27">
        <f>'Energibehov før tiltak'!$J$4</f>
        <v>89.1</v>
      </c>
      <c r="I49" s="27">
        <f>'Energibehov før tiltak'!$J$6</f>
        <v>29.8</v>
      </c>
      <c r="J49" s="27">
        <f>SUM('Energibehov før tiltak'!$J$5,'Energibehov før tiltak'!$J$7:$J$12)</f>
        <v>35</v>
      </c>
      <c r="K49" s="34">
        <f t="shared" si="5"/>
        <v>153.89999999999998</v>
      </c>
      <c r="L49" s="26">
        <f>'Regler varmepumper'!K30</f>
        <v>0.3214285714285714</v>
      </c>
      <c r="M49" s="26">
        <f>'Regler varmepumper'!K31</f>
        <v>0.64</v>
      </c>
      <c r="N49" s="26">
        <f>'Regler varmepumper'!K32</f>
        <v>1</v>
      </c>
    </row>
    <row r="50" spans="1:14">
      <c r="A50" s="28" t="s">
        <v>4</v>
      </c>
      <c r="B50" s="28" t="s">
        <v>31</v>
      </c>
      <c r="C50" s="28" t="s">
        <v>6</v>
      </c>
      <c r="D50" s="28">
        <v>1</v>
      </c>
      <c r="E50" s="79">
        <v>0</v>
      </c>
      <c r="F50" s="79">
        <v>0</v>
      </c>
      <c r="G50" s="79">
        <v>0</v>
      </c>
      <c r="H50" s="27">
        <f>'Energibehov før tiltak'!$E$4</f>
        <v>53.5</v>
      </c>
      <c r="I50" s="27">
        <f>'Energibehov før tiltak'!$E$6</f>
        <v>29.8</v>
      </c>
      <c r="J50" s="27">
        <f>SUM('Energibehov før tiltak'!$E$5,'Energibehov før tiltak'!$E$7:$E$12)</f>
        <v>45.9</v>
      </c>
      <c r="K50" s="34">
        <f t="shared" si="5"/>
        <v>129.19999999999999</v>
      </c>
      <c r="L50" s="26">
        <f>1-E50/H50</f>
        <v>1</v>
      </c>
      <c r="M50" s="26">
        <v>1</v>
      </c>
      <c r="N50" s="26">
        <v>1</v>
      </c>
    </row>
    <row r="51" spans="1:14">
      <c r="A51" s="28" t="s">
        <v>4</v>
      </c>
      <c r="B51" s="28" t="s">
        <v>31</v>
      </c>
      <c r="C51" s="28" t="s">
        <v>7</v>
      </c>
      <c r="D51" s="28">
        <v>1</v>
      </c>
      <c r="E51" s="79">
        <v>0</v>
      </c>
      <c r="F51" s="79">
        <v>0</v>
      </c>
      <c r="G51" s="79">
        <v>0</v>
      </c>
      <c r="H51" s="27">
        <f>'Energibehov før tiltak'!$E$4</f>
        <v>53.5</v>
      </c>
      <c r="I51" s="27">
        <f>'Energibehov før tiltak'!$E$6</f>
        <v>29.8</v>
      </c>
      <c r="J51" s="27">
        <f>SUM('Energibehov før tiltak'!$E$5,'Energibehov før tiltak'!$E$7:$E$12)</f>
        <v>45.9</v>
      </c>
      <c r="K51" s="34">
        <f t="shared" si="5"/>
        <v>129.19999999999999</v>
      </c>
      <c r="L51" s="26">
        <f>1-E51/H51</f>
        <v>1</v>
      </c>
      <c r="M51" s="26">
        <v>1</v>
      </c>
      <c r="N51" s="26">
        <v>1</v>
      </c>
    </row>
    <row r="52" spans="1:14">
      <c r="A52" s="28" t="s">
        <v>4</v>
      </c>
      <c r="B52" s="28" t="s">
        <v>31</v>
      </c>
      <c r="C52" s="28" t="s">
        <v>8</v>
      </c>
      <c r="D52" s="28">
        <v>1</v>
      </c>
      <c r="E52" s="79">
        <v>8.1999999999999886</v>
      </c>
      <c r="F52" s="79">
        <v>0</v>
      </c>
      <c r="G52" s="79">
        <v>0</v>
      </c>
      <c r="H52" s="27">
        <f>'Energibehov før tiltak'!$E$4</f>
        <v>53.5</v>
      </c>
      <c r="I52" s="27">
        <f>'Energibehov før tiltak'!$E$6</f>
        <v>29.8</v>
      </c>
      <c r="J52" s="27">
        <f>SUM('Energibehov før tiltak'!$E$5,'Energibehov før tiltak'!$E$7:$E$12)</f>
        <v>45.9</v>
      </c>
      <c r="K52" s="34">
        <f t="shared" si="5"/>
        <v>129.19999999999999</v>
      </c>
      <c r="L52" s="26">
        <f>1-E52/H52</f>
        <v>0.84672897196261698</v>
      </c>
      <c r="M52" s="26">
        <v>1</v>
      </c>
      <c r="N52" s="26">
        <v>1</v>
      </c>
    </row>
    <row r="53" spans="1:14">
      <c r="A53" s="28" t="s">
        <v>4</v>
      </c>
      <c r="B53" s="28" t="s">
        <v>31</v>
      </c>
      <c r="C53" s="28" t="s">
        <v>9</v>
      </c>
      <c r="D53" s="28">
        <v>1</v>
      </c>
      <c r="E53" s="79">
        <v>8.1999999999999886</v>
      </c>
      <c r="F53" s="79">
        <v>0</v>
      </c>
      <c r="G53" s="79">
        <v>0</v>
      </c>
      <c r="H53" s="27">
        <f>'Energibehov før tiltak'!$E$4</f>
        <v>53.5</v>
      </c>
      <c r="I53" s="27">
        <f>'Energibehov før tiltak'!$E$6</f>
        <v>29.8</v>
      </c>
      <c r="J53" s="27">
        <f>SUM('Energibehov før tiltak'!$E$5,'Energibehov før tiltak'!$E$7:$E$12)</f>
        <v>45.9</v>
      </c>
      <c r="K53" s="34">
        <f t="shared" si="5"/>
        <v>129.19999999999999</v>
      </c>
      <c r="L53" s="26">
        <f>1-E53/H53</f>
        <v>0.84672897196261698</v>
      </c>
      <c r="M53" s="26">
        <v>1</v>
      </c>
      <c r="N53" s="26">
        <v>1</v>
      </c>
    </row>
    <row r="54" spans="1:14">
      <c r="A54" s="28" t="s">
        <v>4</v>
      </c>
      <c r="B54" s="28" t="s">
        <v>31</v>
      </c>
      <c r="C54" s="28" t="s">
        <v>10</v>
      </c>
      <c r="D54" s="28">
        <v>0</v>
      </c>
      <c r="E54" s="79">
        <v>0</v>
      </c>
      <c r="F54" s="79">
        <v>0</v>
      </c>
      <c r="G54" s="79">
        <v>0</v>
      </c>
      <c r="H54" s="27">
        <f>'Energibehov før tiltak'!$E$4</f>
        <v>53.5</v>
      </c>
      <c r="I54" s="27">
        <f>'Energibehov før tiltak'!$E$6</f>
        <v>29.8</v>
      </c>
      <c r="J54" s="27">
        <f>SUM('Energibehov før tiltak'!$E$5,'Energibehov før tiltak'!$E$7:$E$12)</f>
        <v>45.9</v>
      </c>
      <c r="K54" s="34">
        <f t="shared" si="5"/>
        <v>129.19999999999999</v>
      </c>
      <c r="L54" s="26">
        <f>1-E54/H54</f>
        <v>1</v>
      </c>
      <c r="M54" s="26">
        <v>1</v>
      </c>
      <c r="N54" s="26">
        <v>1</v>
      </c>
    </row>
    <row r="55" spans="1:14">
      <c r="A55" s="28" t="s">
        <v>4</v>
      </c>
      <c r="B55" s="28" t="s">
        <v>31</v>
      </c>
      <c r="C55" s="28" t="s">
        <v>11</v>
      </c>
      <c r="D55" s="28">
        <v>1</v>
      </c>
      <c r="E55" s="78">
        <f t="shared" ref="E55:G57" si="8">(1-L55)*H55</f>
        <v>17.509090909090904</v>
      </c>
      <c r="F55" s="78">
        <f t="shared" si="8"/>
        <v>0</v>
      </c>
      <c r="G55" s="78">
        <f t="shared" si="8"/>
        <v>0</v>
      </c>
      <c r="H55" s="27">
        <f>'Energibehov før tiltak'!$E$4</f>
        <v>53.5</v>
      </c>
      <c r="I55" s="27">
        <f>'Energibehov før tiltak'!$E$6</f>
        <v>29.8</v>
      </c>
      <c r="J55" s="27">
        <f>SUM('Energibehov før tiltak'!$E$5,'Energibehov før tiltak'!$E$7:$E$12)</f>
        <v>45.9</v>
      </c>
      <c r="K55" s="34">
        <f t="shared" si="5"/>
        <v>129.19999999999999</v>
      </c>
      <c r="L55" s="26">
        <f>'Regler varmepumper'!F24</f>
        <v>0.67272727272727284</v>
      </c>
      <c r="M55" s="26">
        <f>'Regler varmepumper'!F25</f>
        <v>1</v>
      </c>
      <c r="N55" s="26">
        <f>'Regler varmepumper'!F26</f>
        <v>1</v>
      </c>
    </row>
    <row r="56" spans="1:14">
      <c r="A56" s="28" t="s">
        <v>4</v>
      </c>
      <c r="B56" s="28" t="s">
        <v>31</v>
      </c>
      <c r="C56" s="28" t="s">
        <v>12</v>
      </c>
      <c r="D56" s="28">
        <v>1</v>
      </c>
      <c r="E56" s="78">
        <f t="shared" si="8"/>
        <v>25.68</v>
      </c>
      <c r="F56" s="78">
        <f t="shared" si="8"/>
        <v>8.9400000000000013</v>
      </c>
      <c r="G56" s="78">
        <f t="shared" si="8"/>
        <v>0</v>
      </c>
      <c r="H56" s="27">
        <f>'Energibehov før tiltak'!$E$4</f>
        <v>53.5</v>
      </c>
      <c r="I56" s="27">
        <f>'Energibehov før tiltak'!$E$6</f>
        <v>29.8</v>
      </c>
      <c r="J56" s="27">
        <f>SUM('Energibehov før tiltak'!$E$5,'Energibehov før tiltak'!$E$7:$E$12)</f>
        <v>45.9</v>
      </c>
      <c r="K56" s="34">
        <f t="shared" si="5"/>
        <v>129.19999999999999</v>
      </c>
      <c r="L56" s="26">
        <f>'Regler varmepumper'!F27</f>
        <v>0.52</v>
      </c>
      <c r="M56" s="26">
        <f>'Regler varmepumper'!F28</f>
        <v>0.7</v>
      </c>
      <c r="N56" s="26">
        <f>'Regler varmepumper'!F29</f>
        <v>1</v>
      </c>
    </row>
    <row r="57" spans="1:14">
      <c r="A57" s="28" t="s">
        <v>4</v>
      </c>
      <c r="B57" s="28" t="s">
        <v>31</v>
      </c>
      <c r="C57" s="28" t="s">
        <v>13</v>
      </c>
      <c r="D57" s="28">
        <v>1</v>
      </c>
      <c r="E57" s="78">
        <f t="shared" si="8"/>
        <v>36.303571428571431</v>
      </c>
      <c r="F57" s="78">
        <f t="shared" si="8"/>
        <v>10.728</v>
      </c>
      <c r="G57" s="78">
        <f t="shared" si="8"/>
        <v>0</v>
      </c>
      <c r="H57" s="27">
        <f>'Energibehov før tiltak'!$E$4</f>
        <v>53.5</v>
      </c>
      <c r="I57" s="27">
        <f>'Energibehov før tiltak'!$E$6</f>
        <v>29.8</v>
      </c>
      <c r="J57" s="27">
        <f>SUM('Energibehov før tiltak'!$E$5,'Energibehov før tiltak'!$E$7:$E$12)</f>
        <v>45.9</v>
      </c>
      <c r="K57" s="34">
        <f t="shared" si="5"/>
        <v>129.19999999999999</v>
      </c>
      <c r="L57" s="26">
        <f>'Regler varmepumper'!F30</f>
        <v>0.3214285714285714</v>
      </c>
      <c r="M57" s="26">
        <f>'Regler varmepumper'!F31</f>
        <v>0.64</v>
      </c>
      <c r="N57" s="26">
        <f>'Regler varmepumper'!F32</f>
        <v>1</v>
      </c>
    </row>
    <row r="58" spans="1:14">
      <c r="A58" s="28" t="s">
        <v>28</v>
      </c>
      <c r="B58" s="28" t="s">
        <v>31</v>
      </c>
      <c r="C58" s="28" t="s">
        <v>6</v>
      </c>
      <c r="D58" s="28">
        <v>1</v>
      </c>
      <c r="E58" s="79">
        <v>0</v>
      </c>
      <c r="F58" s="79">
        <v>0</v>
      </c>
      <c r="G58" s="79">
        <v>0</v>
      </c>
      <c r="H58" s="27">
        <f>'Energibehov før tiltak'!$K$4</f>
        <v>33.200000000000003</v>
      </c>
      <c r="I58" s="27">
        <f>'Energibehov før tiltak'!$K$6</f>
        <v>29.8</v>
      </c>
      <c r="J58" s="27">
        <f>SUM('Energibehov før tiltak'!$K$5,'Energibehov før tiltak'!$K$7:$K$12)</f>
        <v>49.5</v>
      </c>
      <c r="K58" s="34">
        <f t="shared" si="5"/>
        <v>112.5</v>
      </c>
      <c r="L58" s="26">
        <f>1-E58/H58</f>
        <v>1</v>
      </c>
      <c r="M58" s="26">
        <v>1</v>
      </c>
      <c r="N58" s="26">
        <v>1</v>
      </c>
    </row>
    <row r="59" spans="1:14">
      <c r="A59" s="28" t="s">
        <v>28</v>
      </c>
      <c r="B59" s="28" t="s">
        <v>31</v>
      </c>
      <c r="C59" s="28" t="s">
        <v>7</v>
      </c>
      <c r="D59" s="28">
        <v>1</v>
      </c>
      <c r="E59" s="80">
        <v>0.40000000000000568</v>
      </c>
      <c r="F59" s="79">
        <v>0</v>
      </c>
      <c r="G59" s="79">
        <v>0</v>
      </c>
      <c r="H59" s="27">
        <f>'Energibehov før tiltak'!$K$4</f>
        <v>33.200000000000003</v>
      </c>
      <c r="I59" s="27">
        <f>'Energibehov før tiltak'!$K$6</f>
        <v>29.8</v>
      </c>
      <c r="J59" s="27">
        <f>SUM('Energibehov før tiltak'!$K$5,'Energibehov før tiltak'!$K$7:$K$12)</f>
        <v>49.5</v>
      </c>
      <c r="K59" s="34">
        <f t="shared" si="5"/>
        <v>112.5</v>
      </c>
      <c r="L59" s="26">
        <f>1-E59/H59</f>
        <v>0.98795180722891551</v>
      </c>
      <c r="M59" s="26">
        <v>1</v>
      </c>
      <c r="N59" s="26">
        <v>1</v>
      </c>
    </row>
    <row r="60" spans="1:14">
      <c r="A60" s="28" t="s">
        <v>28</v>
      </c>
      <c r="B60" s="28" t="s">
        <v>31</v>
      </c>
      <c r="C60" s="28" t="s">
        <v>8</v>
      </c>
      <c r="D60" s="28">
        <v>1</v>
      </c>
      <c r="E60" s="80">
        <v>7.2000000000000028</v>
      </c>
      <c r="F60" s="79">
        <v>0</v>
      </c>
      <c r="G60" s="79">
        <v>0</v>
      </c>
      <c r="H60" s="27">
        <f>'Energibehov før tiltak'!$K$4</f>
        <v>33.200000000000003</v>
      </c>
      <c r="I60" s="27">
        <f>'Energibehov før tiltak'!$K$6</f>
        <v>29.8</v>
      </c>
      <c r="J60" s="27">
        <f>SUM('Energibehov før tiltak'!$K$5,'Energibehov før tiltak'!$K$7:$K$12)</f>
        <v>49.5</v>
      </c>
      <c r="K60" s="34">
        <f t="shared" si="5"/>
        <v>112.5</v>
      </c>
      <c r="L60" s="26">
        <f>1-E60/H60</f>
        <v>0.7831325301204819</v>
      </c>
      <c r="M60" s="26">
        <v>1</v>
      </c>
      <c r="N60" s="26">
        <v>1</v>
      </c>
    </row>
    <row r="61" spans="1:14">
      <c r="A61" s="28" t="s">
        <v>28</v>
      </c>
      <c r="B61" s="28" t="s">
        <v>31</v>
      </c>
      <c r="C61" s="28" t="s">
        <v>9</v>
      </c>
      <c r="D61" s="28">
        <v>1</v>
      </c>
      <c r="E61" s="80">
        <v>7.2000000000000028</v>
      </c>
      <c r="F61" s="79">
        <v>0</v>
      </c>
      <c r="G61" s="79">
        <v>0</v>
      </c>
      <c r="H61" s="27">
        <f>'Energibehov før tiltak'!$K$4</f>
        <v>33.200000000000003</v>
      </c>
      <c r="I61" s="27">
        <f>'Energibehov før tiltak'!$K$6</f>
        <v>29.8</v>
      </c>
      <c r="J61" s="27">
        <f>SUM('Energibehov før tiltak'!$K$5,'Energibehov før tiltak'!$K$7:$K$12)</f>
        <v>49.5</v>
      </c>
      <c r="K61" s="34">
        <f t="shared" si="5"/>
        <v>112.5</v>
      </c>
      <c r="L61" s="26">
        <f>1-E61/H61</f>
        <v>0.7831325301204819</v>
      </c>
      <c r="M61" s="26">
        <v>1</v>
      </c>
      <c r="N61" s="26">
        <v>1</v>
      </c>
    </row>
    <row r="62" spans="1:14">
      <c r="A62" s="28" t="s">
        <v>28</v>
      </c>
      <c r="B62" s="28" t="s">
        <v>31</v>
      </c>
      <c r="C62" s="28" t="s">
        <v>10</v>
      </c>
      <c r="D62" s="28">
        <v>0</v>
      </c>
      <c r="E62" s="80">
        <v>0</v>
      </c>
      <c r="F62" s="79">
        <v>0</v>
      </c>
      <c r="G62" s="79">
        <v>0</v>
      </c>
      <c r="H62" s="27">
        <f>'Energibehov før tiltak'!$K$4</f>
        <v>33.200000000000003</v>
      </c>
      <c r="I62" s="27">
        <f>'Energibehov før tiltak'!$K$6</f>
        <v>29.8</v>
      </c>
      <c r="J62" s="27">
        <f>SUM('Energibehov før tiltak'!$K$5,'Energibehov før tiltak'!$K$7:$K$12)</f>
        <v>49.5</v>
      </c>
      <c r="K62" s="34">
        <f t="shared" si="5"/>
        <v>112.5</v>
      </c>
      <c r="L62" s="26">
        <f>1-E62/H62</f>
        <v>1</v>
      </c>
      <c r="M62" s="26">
        <v>1</v>
      </c>
      <c r="N62" s="26">
        <v>1</v>
      </c>
    </row>
    <row r="63" spans="1:14">
      <c r="A63" s="28" t="s">
        <v>28</v>
      </c>
      <c r="B63" s="28" t="s">
        <v>31</v>
      </c>
      <c r="C63" s="28" t="s">
        <v>11</v>
      </c>
      <c r="D63" s="28">
        <v>1</v>
      </c>
      <c r="E63" s="78">
        <f t="shared" ref="E63:G65" si="9">(1-L63)*H63</f>
        <v>10.865454545454543</v>
      </c>
      <c r="F63" s="78">
        <f t="shared" si="9"/>
        <v>0</v>
      </c>
      <c r="G63" s="78">
        <f t="shared" si="9"/>
        <v>0</v>
      </c>
      <c r="H63" s="27">
        <f>'Energibehov før tiltak'!$K$4</f>
        <v>33.200000000000003</v>
      </c>
      <c r="I63" s="27">
        <f>'Energibehov før tiltak'!$K$6</f>
        <v>29.8</v>
      </c>
      <c r="J63" s="27">
        <f>SUM('Energibehov før tiltak'!$K$5,'Energibehov før tiltak'!$K$7:$K$12)</f>
        <v>49.5</v>
      </c>
      <c r="K63" s="34">
        <f t="shared" si="5"/>
        <v>112.5</v>
      </c>
      <c r="L63" s="26">
        <f>'Regler varmepumper'!L24</f>
        <v>0.67272727272727284</v>
      </c>
      <c r="M63" s="26">
        <f>'Regler varmepumper'!L25</f>
        <v>1</v>
      </c>
      <c r="N63" s="26">
        <f>'Regler varmepumper'!L26</f>
        <v>1</v>
      </c>
    </row>
    <row r="64" spans="1:14">
      <c r="A64" s="28" t="s">
        <v>28</v>
      </c>
      <c r="B64" s="28" t="s">
        <v>31</v>
      </c>
      <c r="C64" s="28" t="s">
        <v>12</v>
      </c>
      <c r="D64" s="28">
        <v>1</v>
      </c>
      <c r="E64" s="78">
        <f t="shared" si="9"/>
        <v>15.936</v>
      </c>
      <c r="F64" s="78">
        <f t="shared" si="9"/>
        <v>8.9400000000000013</v>
      </c>
      <c r="G64" s="78">
        <f t="shared" si="9"/>
        <v>0</v>
      </c>
      <c r="H64" s="27">
        <f>'Energibehov før tiltak'!$K$4</f>
        <v>33.200000000000003</v>
      </c>
      <c r="I64" s="27">
        <f>'Energibehov før tiltak'!$K$6</f>
        <v>29.8</v>
      </c>
      <c r="J64" s="27">
        <f>SUM('Energibehov før tiltak'!$K$5,'Energibehov før tiltak'!$K$7:$K$12)</f>
        <v>49.5</v>
      </c>
      <c r="K64" s="34">
        <f t="shared" si="5"/>
        <v>112.5</v>
      </c>
      <c r="L64" s="26">
        <f>'Regler varmepumper'!L27</f>
        <v>0.52</v>
      </c>
      <c r="M64" s="26">
        <f>'Regler varmepumper'!L28</f>
        <v>0.7</v>
      </c>
      <c r="N64" s="26">
        <f>'Regler varmepumper'!N29</f>
        <v>1</v>
      </c>
    </row>
    <row r="65" spans="1:14">
      <c r="A65" s="28" t="s">
        <v>28</v>
      </c>
      <c r="B65" s="28" t="s">
        <v>31</v>
      </c>
      <c r="C65" s="28" t="s">
        <v>13</v>
      </c>
      <c r="D65" s="28">
        <v>1</v>
      </c>
      <c r="E65" s="78">
        <f t="shared" si="9"/>
        <v>22.528571428571432</v>
      </c>
      <c r="F65" s="78">
        <f t="shared" si="9"/>
        <v>10.728</v>
      </c>
      <c r="G65" s="78">
        <f t="shared" si="9"/>
        <v>0</v>
      </c>
      <c r="H65" s="27">
        <f>'Energibehov før tiltak'!$K$4</f>
        <v>33.200000000000003</v>
      </c>
      <c r="I65" s="27">
        <f>'Energibehov før tiltak'!$K$6</f>
        <v>29.8</v>
      </c>
      <c r="J65" s="27">
        <f>SUM('Energibehov før tiltak'!$K$5,'Energibehov før tiltak'!$K$7:$K$12)</f>
        <v>49.5</v>
      </c>
      <c r="K65" s="34">
        <f t="shared" si="5"/>
        <v>112.5</v>
      </c>
      <c r="L65" s="26">
        <f>'Regler varmepumper'!L30</f>
        <v>0.3214285714285714</v>
      </c>
      <c r="M65" s="26">
        <f>'Regler varmepumper'!L31</f>
        <v>0.64</v>
      </c>
      <c r="N65" s="26">
        <f>'Regler varmepumper'!N32</f>
        <v>1</v>
      </c>
    </row>
    <row r="66" spans="1:14">
      <c r="A66" s="28" t="s">
        <v>4</v>
      </c>
      <c r="B66" s="28" t="s">
        <v>32</v>
      </c>
      <c r="C66" s="28" t="s">
        <v>10</v>
      </c>
      <c r="D66" s="28">
        <v>0</v>
      </c>
      <c r="E66" s="80">
        <v>0</v>
      </c>
      <c r="F66" s="79">
        <v>0</v>
      </c>
      <c r="G66" s="79">
        <v>0</v>
      </c>
      <c r="H66" s="27">
        <f>'Energibehov før tiltak'!$F$4</f>
        <v>45.300000000000011</v>
      </c>
      <c r="I66" s="27">
        <f>'Energibehov før tiltak'!$F$6</f>
        <v>29.8</v>
      </c>
      <c r="J66" s="27">
        <f>SUM('Energibehov før tiltak'!$F$5,'Energibehov før tiltak'!$F$7:$F$12)</f>
        <v>45.9</v>
      </c>
      <c r="K66" s="34">
        <f t="shared" ref="K66:K97" si="10">SUM(H66:J66)</f>
        <v>121</v>
      </c>
      <c r="L66" s="26">
        <f>1-E66/H66</f>
        <v>1</v>
      </c>
      <c r="M66" s="26">
        <v>1</v>
      </c>
      <c r="N66" s="26">
        <v>1</v>
      </c>
    </row>
    <row r="67" spans="1:14">
      <c r="A67" s="28" t="s">
        <v>4</v>
      </c>
      <c r="B67" s="28" t="s">
        <v>32</v>
      </c>
      <c r="C67" s="28" t="s">
        <v>11</v>
      </c>
      <c r="D67" s="28">
        <v>1</v>
      </c>
      <c r="E67" s="78">
        <f t="shared" ref="E67:G69" si="11">(1-L67)*H67</f>
        <v>14.825454545454544</v>
      </c>
      <c r="F67" s="78">
        <f t="shared" si="11"/>
        <v>0</v>
      </c>
      <c r="G67" s="78">
        <f t="shared" si="11"/>
        <v>0</v>
      </c>
      <c r="H67" s="27">
        <f>'Energibehov før tiltak'!$G$4</f>
        <v>45.300000000000011</v>
      </c>
      <c r="I67" s="27">
        <f>'Energibehov før tiltak'!$G$6</f>
        <v>29.8</v>
      </c>
      <c r="J67" s="27">
        <f>SUM('Energibehov før tiltak'!$G$5,'Energibehov før tiltak'!$G$7:$G$12)</f>
        <v>45.9</v>
      </c>
      <c r="K67" s="34">
        <f t="shared" si="10"/>
        <v>121</v>
      </c>
      <c r="L67" s="26">
        <f>'Regler varmepumper'!G24</f>
        <v>0.67272727272727284</v>
      </c>
      <c r="M67" s="26">
        <f>'Regler varmepumper'!G25</f>
        <v>1</v>
      </c>
      <c r="N67" s="26">
        <f>'Regler varmepumper'!G26</f>
        <v>1</v>
      </c>
    </row>
    <row r="68" spans="1:14">
      <c r="A68" s="28" t="s">
        <v>4</v>
      </c>
      <c r="B68" s="28" t="s">
        <v>32</v>
      </c>
      <c r="C68" s="28" t="s">
        <v>12</v>
      </c>
      <c r="D68" s="28">
        <v>1</v>
      </c>
      <c r="E68" s="78">
        <f t="shared" si="11"/>
        <v>21.744000000000003</v>
      </c>
      <c r="F68" s="78">
        <f t="shared" si="11"/>
        <v>8.9400000000000013</v>
      </c>
      <c r="G68" s="78">
        <f t="shared" si="11"/>
        <v>0</v>
      </c>
      <c r="H68" s="27">
        <f>'Energibehov før tiltak'!$G$4</f>
        <v>45.300000000000011</v>
      </c>
      <c r="I68" s="27">
        <f>'Energibehov før tiltak'!$G$6</f>
        <v>29.8</v>
      </c>
      <c r="J68" s="27">
        <f>SUM('Energibehov før tiltak'!$G$5,'Energibehov før tiltak'!$G$7:$G$12)</f>
        <v>45.9</v>
      </c>
      <c r="K68" s="34">
        <f t="shared" si="10"/>
        <v>121</v>
      </c>
      <c r="L68" s="26">
        <f>'Regler varmepumper'!G27</f>
        <v>0.52</v>
      </c>
      <c r="M68" s="26">
        <f>'Regler varmepumper'!G28</f>
        <v>0.7</v>
      </c>
      <c r="N68" s="26">
        <f>'Regler varmepumper'!G29</f>
        <v>1</v>
      </c>
    </row>
    <row r="69" spans="1:14">
      <c r="A69" s="28" t="s">
        <v>4</v>
      </c>
      <c r="B69" s="28" t="s">
        <v>32</v>
      </c>
      <c r="C69" s="28" t="s">
        <v>13</v>
      </c>
      <c r="D69" s="28">
        <v>1</v>
      </c>
      <c r="E69" s="78">
        <f t="shared" si="11"/>
        <v>30.739285714285725</v>
      </c>
      <c r="F69" s="78">
        <f t="shared" si="11"/>
        <v>10.728</v>
      </c>
      <c r="G69" s="78">
        <f t="shared" si="11"/>
        <v>0</v>
      </c>
      <c r="H69" s="27">
        <f>'Energibehov før tiltak'!$G$4</f>
        <v>45.300000000000011</v>
      </c>
      <c r="I69" s="27">
        <f>'Energibehov før tiltak'!$G$6</f>
        <v>29.8</v>
      </c>
      <c r="J69" s="27">
        <f>SUM('Energibehov før tiltak'!$G$5,'Energibehov før tiltak'!$G$7:$G$12)</f>
        <v>45.9</v>
      </c>
      <c r="K69" s="34">
        <f t="shared" si="10"/>
        <v>121</v>
      </c>
      <c r="L69" s="26">
        <f>'Regler varmepumper'!G30</f>
        <v>0.3214285714285714</v>
      </c>
      <c r="M69" s="26">
        <f>'Regler varmepumper'!G31</f>
        <v>0.64</v>
      </c>
      <c r="N69" s="26">
        <f>'Regler varmepumper'!G32</f>
        <v>1</v>
      </c>
    </row>
    <row r="70" spans="1:14">
      <c r="A70" s="28" t="s">
        <v>28</v>
      </c>
      <c r="B70" s="28" t="s">
        <v>32</v>
      </c>
      <c r="C70" s="28" t="s">
        <v>10</v>
      </c>
      <c r="D70" s="28">
        <v>0</v>
      </c>
      <c r="E70" s="80">
        <v>0</v>
      </c>
      <c r="F70" s="79">
        <v>0</v>
      </c>
      <c r="G70" s="79">
        <v>0</v>
      </c>
      <c r="H70" s="27">
        <f>'Energibehov før tiltak'!$L$4</f>
        <v>24.700000000000003</v>
      </c>
      <c r="I70" s="27">
        <f>'Energibehov før tiltak'!$L$6</f>
        <v>29.8</v>
      </c>
      <c r="J70" s="27">
        <f>SUM('Energibehov før tiltak'!$L$5,'Energibehov før tiltak'!$L$7:$L$12)</f>
        <v>49.5</v>
      </c>
      <c r="K70" s="34">
        <f t="shared" si="10"/>
        <v>104</v>
      </c>
      <c r="L70" s="26">
        <f>1-E70/H70</f>
        <v>1</v>
      </c>
      <c r="M70" s="26">
        <v>1</v>
      </c>
      <c r="N70" s="26">
        <v>1</v>
      </c>
    </row>
    <row r="71" spans="1:14">
      <c r="A71" s="28" t="s">
        <v>28</v>
      </c>
      <c r="B71" s="28" t="s">
        <v>32</v>
      </c>
      <c r="C71" s="28" t="s">
        <v>11</v>
      </c>
      <c r="D71" s="28">
        <v>1</v>
      </c>
      <c r="E71" s="78">
        <f t="shared" ref="E71:G73" si="12">(1-L71)*H71</f>
        <v>8.0836363636363622</v>
      </c>
      <c r="F71" s="78">
        <f t="shared" si="12"/>
        <v>0</v>
      </c>
      <c r="G71" s="78">
        <f t="shared" si="12"/>
        <v>0</v>
      </c>
      <c r="H71" s="27">
        <f>'Energibehov før tiltak'!$L$4</f>
        <v>24.700000000000003</v>
      </c>
      <c r="I71" s="27">
        <f>'Energibehov før tiltak'!$L$6</f>
        <v>29.8</v>
      </c>
      <c r="J71" s="27">
        <f>SUM('Energibehov før tiltak'!$L$5,'Energibehov før tiltak'!$L$7:$L$12)</f>
        <v>49.5</v>
      </c>
      <c r="K71" s="34">
        <f t="shared" si="10"/>
        <v>104</v>
      </c>
      <c r="L71" s="26">
        <f>'Regler varmepumper'!N24</f>
        <v>0.67272727272727284</v>
      </c>
      <c r="M71" s="26">
        <f>'Regler varmepumper'!N25</f>
        <v>1</v>
      </c>
      <c r="N71" s="26">
        <f>'Regler varmepumper'!N26</f>
        <v>1</v>
      </c>
    </row>
    <row r="72" spans="1:14">
      <c r="A72" s="28" t="s">
        <v>28</v>
      </c>
      <c r="B72" s="28" t="s">
        <v>32</v>
      </c>
      <c r="C72" s="28" t="s">
        <v>12</v>
      </c>
      <c r="D72" s="28">
        <v>1</v>
      </c>
      <c r="E72" s="78">
        <f t="shared" si="12"/>
        <v>11.856000000000002</v>
      </c>
      <c r="F72" s="78">
        <f t="shared" si="12"/>
        <v>8.9400000000000013</v>
      </c>
      <c r="G72" s="78">
        <f t="shared" si="12"/>
        <v>0</v>
      </c>
      <c r="H72" s="27">
        <f>'Energibehov før tiltak'!$L$4</f>
        <v>24.700000000000003</v>
      </c>
      <c r="I72" s="27">
        <f>'Energibehov før tiltak'!$L$6</f>
        <v>29.8</v>
      </c>
      <c r="J72" s="27">
        <f>SUM('Energibehov før tiltak'!$L$5,'Energibehov før tiltak'!$L$7:$L$12)</f>
        <v>49.5</v>
      </c>
      <c r="K72" s="34">
        <f t="shared" si="10"/>
        <v>104</v>
      </c>
      <c r="L72" s="26">
        <f>'Regler varmepumper'!N27</f>
        <v>0.52</v>
      </c>
      <c r="M72" s="26">
        <f>'Regler varmepumper'!N28</f>
        <v>0.7</v>
      </c>
      <c r="N72" s="26">
        <f>'Regler varmepumper'!N29</f>
        <v>1</v>
      </c>
    </row>
    <row r="73" spans="1:14">
      <c r="A73" s="28" t="s">
        <v>28</v>
      </c>
      <c r="B73" s="28" t="s">
        <v>32</v>
      </c>
      <c r="C73" s="28" t="s">
        <v>13</v>
      </c>
      <c r="D73" s="28">
        <v>1</v>
      </c>
      <c r="E73" s="78">
        <f t="shared" si="12"/>
        <v>16.76071428571429</v>
      </c>
      <c r="F73" s="78">
        <f t="shared" si="12"/>
        <v>10.728</v>
      </c>
      <c r="G73" s="78">
        <f t="shared" si="12"/>
        <v>0</v>
      </c>
      <c r="H73" s="27">
        <f>'Energibehov før tiltak'!$L$4</f>
        <v>24.700000000000003</v>
      </c>
      <c r="I73" s="27">
        <f>'Energibehov før tiltak'!$L$6</f>
        <v>29.8</v>
      </c>
      <c r="J73" s="27">
        <f>SUM('Energibehov før tiltak'!$L$5,'Energibehov før tiltak'!$L$7:$L$12)</f>
        <v>49.5</v>
      </c>
      <c r="K73" s="34">
        <f t="shared" si="10"/>
        <v>104</v>
      </c>
      <c r="L73" s="26">
        <f>'Regler varmepumper'!N30</f>
        <v>0.3214285714285714</v>
      </c>
      <c r="M73" s="26">
        <f>'Regler varmepumper'!N31</f>
        <v>0.64</v>
      </c>
      <c r="N73" s="26">
        <f>'Regler varmepumper'!N32</f>
        <v>1</v>
      </c>
    </row>
    <row r="74" spans="1:14">
      <c r="A74" s="28" t="s">
        <v>4</v>
      </c>
      <c r="B74" s="28" t="s">
        <v>33</v>
      </c>
      <c r="C74" s="28" t="s">
        <v>10</v>
      </c>
      <c r="D74" s="28">
        <v>0</v>
      </c>
      <c r="E74" s="80">
        <v>0</v>
      </c>
      <c r="F74" s="79">
        <v>0</v>
      </c>
      <c r="G74" s="79">
        <v>0</v>
      </c>
      <c r="H74" s="27">
        <f>'Energibehov før tiltak'!$F$4</f>
        <v>45.300000000000011</v>
      </c>
      <c r="I74" s="27">
        <f>'Energibehov før tiltak'!$F$6</f>
        <v>29.8</v>
      </c>
      <c r="J74" s="27">
        <f>SUM('Energibehov før tiltak'!$F$5,'Energibehov før tiltak'!$F$7:$F$12)</f>
        <v>45.9</v>
      </c>
      <c r="K74" s="34">
        <f t="shared" si="10"/>
        <v>121</v>
      </c>
      <c r="L74" s="26">
        <f>1-E74/H74</f>
        <v>1</v>
      </c>
      <c r="M74" s="26">
        <f>'Regler varmepumper'!H28</f>
        <v>0.7</v>
      </c>
      <c r="N74" s="26">
        <f>'Regler varmepumper'!H29</f>
        <v>1</v>
      </c>
    </row>
    <row r="75" spans="1:14">
      <c r="A75" s="28" t="s">
        <v>4</v>
      </c>
      <c r="B75" s="28" t="s">
        <v>32</v>
      </c>
      <c r="C75" s="28" t="s">
        <v>11</v>
      </c>
      <c r="D75" s="28">
        <v>1</v>
      </c>
      <c r="E75" s="78">
        <f t="shared" ref="E75:G80" si="13">(1-L75)*H75</f>
        <v>14.825454545454544</v>
      </c>
      <c r="F75" s="78">
        <f t="shared" si="13"/>
        <v>0</v>
      </c>
      <c r="G75" s="78">
        <f t="shared" si="13"/>
        <v>0</v>
      </c>
      <c r="H75" s="27">
        <f>'Energibehov før tiltak'!$F$4</f>
        <v>45.300000000000011</v>
      </c>
      <c r="I75" s="27">
        <f>'Energibehov før tiltak'!$F$6</f>
        <v>29.8</v>
      </c>
      <c r="J75" s="27">
        <f>SUM('Energibehov før tiltak'!$F$5,'Energibehov før tiltak'!$F$7:$F$12)</f>
        <v>45.9</v>
      </c>
      <c r="K75" s="34">
        <f t="shared" si="10"/>
        <v>121</v>
      </c>
      <c r="L75" s="26">
        <f>'Regler varmepumper'!H24</f>
        <v>0.67272727272727284</v>
      </c>
      <c r="M75" s="26">
        <f>'Regler varmepumper'!H25</f>
        <v>1</v>
      </c>
      <c r="N75" s="26">
        <f>'Regler varmepumper'!H26</f>
        <v>1</v>
      </c>
    </row>
    <row r="76" spans="1:14">
      <c r="A76" s="28" t="s">
        <v>4</v>
      </c>
      <c r="B76" s="28" t="s">
        <v>32</v>
      </c>
      <c r="C76" s="28" t="s">
        <v>12</v>
      </c>
      <c r="D76" s="28">
        <v>1</v>
      </c>
      <c r="E76" s="78">
        <f t="shared" si="13"/>
        <v>21.744000000000003</v>
      </c>
      <c r="F76" s="78">
        <f t="shared" si="13"/>
        <v>8.9400000000000013</v>
      </c>
      <c r="G76" s="78">
        <f t="shared" si="13"/>
        <v>0</v>
      </c>
      <c r="H76" s="27">
        <f>'Energibehov før tiltak'!$F$4</f>
        <v>45.300000000000011</v>
      </c>
      <c r="I76" s="27">
        <f>'Energibehov før tiltak'!$F$6</f>
        <v>29.8</v>
      </c>
      <c r="J76" s="27">
        <f>SUM('Energibehov før tiltak'!$F$5,'Energibehov før tiltak'!$F$7:$F$12)</f>
        <v>45.9</v>
      </c>
      <c r="K76" s="34">
        <f t="shared" si="10"/>
        <v>121</v>
      </c>
      <c r="L76" s="26">
        <f>'Regler varmepumper'!H27</f>
        <v>0.52</v>
      </c>
      <c r="M76" s="26">
        <f>'Regler varmepumper'!H28</f>
        <v>0.7</v>
      </c>
      <c r="N76" s="26">
        <f>'Regler varmepumper'!H29</f>
        <v>1</v>
      </c>
    </row>
    <row r="77" spans="1:14">
      <c r="A77" s="28" t="s">
        <v>4</v>
      </c>
      <c r="B77" s="28" t="s">
        <v>32</v>
      </c>
      <c r="C77" s="28" t="s">
        <v>13</v>
      </c>
      <c r="D77" s="28">
        <v>1</v>
      </c>
      <c r="E77" s="78">
        <f t="shared" si="13"/>
        <v>30.739285714285725</v>
      </c>
      <c r="F77" s="78">
        <f t="shared" si="13"/>
        <v>10.728</v>
      </c>
      <c r="G77" s="78">
        <f t="shared" si="13"/>
        <v>0</v>
      </c>
      <c r="H77" s="27">
        <f>'Energibehov før tiltak'!$F$4</f>
        <v>45.300000000000011</v>
      </c>
      <c r="I77" s="27">
        <f>'Energibehov før tiltak'!$F$6</f>
        <v>29.8</v>
      </c>
      <c r="J77" s="27">
        <f>SUM('Energibehov før tiltak'!$F$5,'Energibehov før tiltak'!$F$7:$F$12)</f>
        <v>45.9</v>
      </c>
      <c r="K77" s="34">
        <f t="shared" si="10"/>
        <v>121</v>
      </c>
      <c r="L77" s="26">
        <f>'Regler varmepumper'!H30</f>
        <v>0.3214285714285714</v>
      </c>
      <c r="M77" s="26">
        <f>'Regler varmepumper'!H31</f>
        <v>0.64</v>
      </c>
      <c r="N77" s="26">
        <f>'Regler varmepumper'!H32</f>
        <v>1</v>
      </c>
    </row>
    <row r="78" spans="1:14">
      <c r="A78" s="28" t="s">
        <v>28</v>
      </c>
      <c r="B78" s="28" t="s">
        <v>33</v>
      </c>
      <c r="C78" s="28" t="s">
        <v>11</v>
      </c>
      <c r="D78" s="28">
        <v>1</v>
      </c>
      <c r="E78" s="78">
        <f t="shared" si="13"/>
        <v>8.0836363636363622</v>
      </c>
      <c r="F78" s="78">
        <f t="shared" si="13"/>
        <v>0</v>
      </c>
      <c r="G78" s="78">
        <f t="shared" si="13"/>
        <v>0</v>
      </c>
      <c r="H78" s="27">
        <f>'Energibehov før tiltak'!$L$4</f>
        <v>24.700000000000003</v>
      </c>
      <c r="I78" s="27">
        <f>'Energibehov før tiltak'!$L$6</f>
        <v>29.8</v>
      </c>
      <c r="J78" s="27">
        <f>SUM('Energibehov før tiltak'!$L$5,'Energibehov før tiltak'!$L$7:$L$12)</f>
        <v>49.5</v>
      </c>
      <c r="K78" s="34">
        <f t="shared" si="10"/>
        <v>104</v>
      </c>
      <c r="L78" s="26">
        <f>'Regler varmepumper'!M24</f>
        <v>0.67272727272727284</v>
      </c>
      <c r="M78" s="26">
        <f>'Regler varmepumper'!M25</f>
        <v>1</v>
      </c>
      <c r="N78" s="26">
        <f>'Regler varmepumper'!M26</f>
        <v>1</v>
      </c>
    </row>
    <row r="79" spans="1:14">
      <c r="A79" s="28" t="s">
        <v>28</v>
      </c>
      <c r="B79" s="28" t="s">
        <v>33</v>
      </c>
      <c r="C79" s="28" t="s">
        <v>12</v>
      </c>
      <c r="D79" s="28">
        <v>1</v>
      </c>
      <c r="E79" s="78">
        <f t="shared" si="13"/>
        <v>11.856000000000002</v>
      </c>
      <c r="F79" s="78">
        <f t="shared" si="13"/>
        <v>8.9400000000000013</v>
      </c>
      <c r="G79" s="78">
        <f t="shared" si="13"/>
        <v>0</v>
      </c>
      <c r="H79" s="27">
        <f>'Energibehov før tiltak'!$L$4</f>
        <v>24.700000000000003</v>
      </c>
      <c r="I79" s="27">
        <f>'Energibehov før tiltak'!$L$6</f>
        <v>29.8</v>
      </c>
      <c r="J79" s="27">
        <f>SUM('Energibehov før tiltak'!$L$5,'Energibehov før tiltak'!$L$7:$L$12)</f>
        <v>49.5</v>
      </c>
      <c r="K79" s="34">
        <f t="shared" si="10"/>
        <v>104</v>
      </c>
      <c r="L79" s="26">
        <f>'Regler varmepumper'!M27</f>
        <v>0.52</v>
      </c>
      <c r="M79" s="26">
        <f>'Regler varmepumper'!M28</f>
        <v>0.7</v>
      </c>
      <c r="N79" s="26">
        <f>'Regler varmepumper'!M29</f>
        <v>1</v>
      </c>
    </row>
    <row r="80" spans="1:14">
      <c r="A80" s="28" t="s">
        <v>28</v>
      </c>
      <c r="B80" s="28" t="s">
        <v>33</v>
      </c>
      <c r="C80" s="28" t="s">
        <v>13</v>
      </c>
      <c r="D80" s="28">
        <v>1</v>
      </c>
      <c r="E80" s="78">
        <f t="shared" si="13"/>
        <v>16.76071428571429</v>
      </c>
      <c r="F80" s="78">
        <f t="shared" si="13"/>
        <v>20.221428571428572</v>
      </c>
      <c r="G80" s="78">
        <f t="shared" si="13"/>
        <v>0</v>
      </c>
      <c r="H80" s="27">
        <f>'Energibehov før tiltak'!$L$4</f>
        <v>24.700000000000003</v>
      </c>
      <c r="I80" s="27">
        <f>'Energibehov før tiltak'!$L$6</f>
        <v>29.8</v>
      </c>
      <c r="J80" s="27">
        <f>SUM('Energibehov før tiltak'!$L$5,'Energibehov før tiltak'!$L$7:$L$12)</f>
        <v>49.5</v>
      </c>
      <c r="K80" s="34">
        <f t="shared" si="10"/>
        <v>104</v>
      </c>
      <c r="L80" s="26">
        <f>'Regler varmepumper'!L30</f>
        <v>0.3214285714285714</v>
      </c>
      <c r="M80" s="26">
        <f>'Regler varmepumper'!M30</f>
        <v>0.3214285714285714</v>
      </c>
      <c r="N80" s="26">
        <f>'Regler varmepumper'!M32</f>
        <v>1</v>
      </c>
    </row>
    <row r="81" spans="1:14">
      <c r="A81" s="28" t="s">
        <v>28</v>
      </c>
      <c r="B81" s="28" t="s">
        <v>33</v>
      </c>
      <c r="C81" s="28" t="s">
        <v>10</v>
      </c>
      <c r="D81" s="28">
        <v>1</v>
      </c>
      <c r="E81" s="80">
        <v>0</v>
      </c>
      <c r="F81" s="79">
        <v>0</v>
      </c>
      <c r="G81" s="79">
        <v>0</v>
      </c>
      <c r="H81" s="27">
        <f>'Energibehov før tiltak'!$M$4</f>
        <v>24.700000000000003</v>
      </c>
      <c r="I81" s="27">
        <f>'Energibehov før tiltak'!$M$6</f>
        <v>29.8</v>
      </c>
      <c r="J81" s="27">
        <f>SUM('Energibehov før tiltak'!$M$5,'Energibehov før tiltak'!$M$7:$M$12)</f>
        <v>49.5</v>
      </c>
      <c r="K81" s="34">
        <f t="shared" si="10"/>
        <v>104</v>
      </c>
      <c r="L81" s="26">
        <f>1-E81/H81</f>
        <v>1</v>
      </c>
      <c r="M81" s="26">
        <f>'Regler varmepumper'!L31</f>
        <v>0.64</v>
      </c>
      <c r="N81" s="26">
        <f>'Regler varmepumper'!M32</f>
        <v>1</v>
      </c>
    </row>
    <row r="82" spans="1:14">
      <c r="A82" s="28" t="s">
        <v>4</v>
      </c>
      <c r="B82" s="28" t="s">
        <v>5</v>
      </c>
      <c r="C82" s="28" t="s">
        <v>34</v>
      </c>
      <c r="D82" s="28">
        <v>1</v>
      </c>
      <c r="E82" s="80">
        <v>19.844000000000001</v>
      </c>
      <c r="F82" s="79">
        <v>0</v>
      </c>
      <c r="G82" s="79">
        <v>-1.806</v>
      </c>
      <c r="H82" s="27">
        <f>'Energibehov før tiltak'!B4</f>
        <v>180.4</v>
      </c>
      <c r="I82" s="27">
        <f>'Energibehov før tiltak'!B6</f>
        <v>29.8</v>
      </c>
      <c r="J82" s="27">
        <f>SUM('Energibehov før tiltak'!B5,'Energibehov før tiltak'!B7:B12)</f>
        <v>30.1</v>
      </c>
      <c r="K82" s="34">
        <f t="shared" si="10"/>
        <v>240.3</v>
      </c>
      <c r="L82" s="26">
        <f>1-0.11</f>
        <v>0.89</v>
      </c>
      <c r="M82" s="26">
        <v>1</v>
      </c>
      <c r="N82" s="26">
        <f>1--0.06</f>
        <v>1.06</v>
      </c>
    </row>
    <row r="83" spans="1:14">
      <c r="A83" s="28" t="s">
        <v>4</v>
      </c>
      <c r="B83" s="28" t="s">
        <v>29</v>
      </c>
      <c r="C83" s="28" t="s">
        <v>34</v>
      </c>
      <c r="D83" s="28">
        <v>1</v>
      </c>
      <c r="E83" s="80">
        <v>16.968</v>
      </c>
      <c r="F83" s="79">
        <v>0</v>
      </c>
      <c r="G83" s="79">
        <v>1.196</v>
      </c>
      <c r="H83" s="27">
        <f>'Energibehov før tiltak'!C4</f>
        <v>141.4</v>
      </c>
      <c r="I83" s="27">
        <f>'Energibehov før tiltak'!C6</f>
        <v>29.8</v>
      </c>
      <c r="J83" s="27">
        <f>SUM('Energibehov før tiltak'!C5,'Energibehov før tiltak'!C7:C12)</f>
        <v>29.9</v>
      </c>
      <c r="K83" s="34">
        <f t="shared" si="10"/>
        <v>201.10000000000002</v>
      </c>
      <c r="L83" s="26">
        <f>1-0.12</f>
        <v>0.88</v>
      </c>
      <c r="M83" s="26">
        <v>1</v>
      </c>
      <c r="N83" s="26">
        <f>1-0.04</f>
        <v>0.96</v>
      </c>
    </row>
    <row r="84" spans="1:14">
      <c r="A84" s="28" t="s">
        <v>4</v>
      </c>
      <c r="B84" s="28" t="s">
        <v>30</v>
      </c>
      <c r="C84" s="28" t="s">
        <v>34</v>
      </c>
      <c r="D84" s="28">
        <v>1</v>
      </c>
      <c r="E84" s="80">
        <v>16.464000000000002</v>
      </c>
      <c r="F84" s="79">
        <v>0</v>
      </c>
      <c r="G84" s="79">
        <v>1.3640000000000001</v>
      </c>
      <c r="H84" s="27">
        <f>'Energibehov før tiltak'!D4</f>
        <v>102.9</v>
      </c>
      <c r="I84" s="27">
        <f>'Energibehov før tiltak'!D6</f>
        <v>29.8</v>
      </c>
      <c r="J84" s="27">
        <f>SUM('Energibehov før tiltak'!D5,'Energibehov før tiltak'!D7:D12)</f>
        <v>34.1</v>
      </c>
      <c r="K84" s="34">
        <f t="shared" si="10"/>
        <v>166.8</v>
      </c>
      <c r="L84" s="26">
        <f>1-0.16</f>
        <v>0.84</v>
      </c>
      <c r="M84" s="26">
        <v>1</v>
      </c>
      <c r="N84" s="26">
        <f>1-0.05</f>
        <v>0.95</v>
      </c>
    </row>
    <row r="85" spans="1:14">
      <c r="A85" s="28" t="s">
        <v>28</v>
      </c>
      <c r="B85" s="28" t="s">
        <v>5</v>
      </c>
      <c r="C85" s="28" t="s">
        <v>34</v>
      </c>
      <c r="D85" s="28">
        <v>1</v>
      </c>
      <c r="E85" s="80">
        <v>47.095999999999997</v>
      </c>
      <c r="F85" s="79">
        <v>0</v>
      </c>
      <c r="G85" s="79">
        <v>0.89999999999999991</v>
      </c>
      <c r="H85" s="27">
        <f>'Energibehov før tiltak'!H4</f>
        <v>162.4</v>
      </c>
      <c r="I85" s="27">
        <f>'Energibehov før tiltak'!H6</f>
        <v>29.8</v>
      </c>
      <c r="J85" s="27">
        <f>SUM('Energibehov før tiltak'!H5,'Energibehov før tiltak'!H7:H12)</f>
        <v>30</v>
      </c>
      <c r="K85" s="34">
        <f t="shared" si="10"/>
        <v>222.20000000000002</v>
      </c>
      <c r="L85" s="26">
        <f>1-0.29</f>
        <v>0.71</v>
      </c>
      <c r="M85" s="26">
        <v>1</v>
      </c>
      <c r="N85" s="26">
        <f>1-0.03</f>
        <v>0.97</v>
      </c>
    </row>
    <row r="86" spans="1:14">
      <c r="A86" s="28" t="s">
        <v>28</v>
      </c>
      <c r="B86" s="28" t="s">
        <v>29</v>
      </c>
      <c r="C86" s="28" t="s">
        <v>34</v>
      </c>
      <c r="D86" s="28">
        <v>1</v>
      </c>
      <c r="E86" s="80">
        <v>36.927000000000007</v>
      </c>
      <c r="F86" s="79">
        <v>0</v>
      </c>
      <c r="G86" s="79">
        <v>1.4850000000000003</v>
      </c>
      <c r="H86" s="27">
        <f>'Energibehov før tiltak'!I4</f>
        <v>111.9</v>
      </c>
      <c r="I86" s="27">
        <f>'Energibehov før tiltak'!I6</f>
        <v>29.8</v>
      </c>
      <c r="J86" s="27">
        <f>SUM('Energibehov før tiltak'!I5,'Energibehov før tiltak'!I7:I12)</f>
        <v>29.700000000000003</v>
      </c>
      <c r="K86" s="34">
        <f t="shared" si="10"/>
        <v>171.40000000000003</v>
      </c>
      <c r="L86" s="26">
        <f>1-0.33</f>
        <v>0.66999999999999993</v>
      </c>
      <c r="M86" s="26">
        <v>1</v>
      </c>
      <c r="N86" s="26">
        <f>1-0.05</f>
        <v>0.95</v>
      </c>
    </row>
    <row r="87" spans="1:14">
      <c r="A87" s="28" t="s">
        <v>28</v>
      </c>
      <c r="B87" s="28" t="s">
        <v>30</v>
      </c>
      <c r="C87" s="28" t="s">
        <v>34</v>
      </c>
      <c r="D87" s="28">
        <v>1</v>
      </c>
      <c r="E87" s="80">
        <v>37.421999999999997</v>
      </c>
      <c r="F87" s="79">
        <v>0</v>
      </c>
      <c r="G87" s="79">
        <v>1.75</v>
      </c>
      <c r="H87" s="27">
        <f>'Energibehov før tiltak'!J4</f>
        <v>89.1</v>
      </c>
      <c r="I87" s="27">
        <f>'Energibehov før tiltak'!J6</f>
        <v>29.8</v>
      </c>
      <c r="J87" s="27">
        <f>SUM('Energibehov før tiltak'!J5,'Energibehov før tiltak'!J7:J12)</f>
        <v>35</v>
      </c>
      <c r="K87" s="34">
        <f t="shared" si="10"/>
        <v>153.89999999999998</v>
      </c>
      <c r="L87" s="26">
        <f>1-0.42</f>
        <v>0.58000000000000007</v>
      </c>
      <c r="M87" s="26">
        <v>1</v>
      </c>
      <c r="N87" s="26">
        <f>1-0.05</f>
        <v>0.95</v>
      </c>
    </row>
    <row r="88" spans="1:14">
      <c r="A88" s="28" t="s">
        <v>4</v>
      </c>
      <c r="B88" s="28" t="s">
        <v>33</v>
      </c>
      <c r="C88" s="28" t="s">
        <v>8</v>
      </c>
      <c r="D88" s="28">
        <v>1</v>
      </c>
      <c r="E88" s="85">
        <v>6.0999999999999943</v>
      </c>
      <c r="F88" s="86">
        <v>0</v>
      </c>
      <c r="G88" s="86">
        <v>0</v>
      </c>
      <c r="H88" s="87">
        <v>53.5</v>
      </c>
      <c r="I88" s="87">
        <v>29.8</v>
      </c>
      <c r="J88" s="87">
        <v>45.9</v>
      </c>
      <c r="K88" s="88">
        <v>129.19999999999999</v>
      </c>
      <c r="L88" s="89">
        <v>0.88598130841121503</v>
      </c>
      <c r="M88" s="89">
        <v>1</v>
      </c>
      <c r="N88" s="89">
        <v>1</v>
      </c>
    </row>
    <row r="89" spans="1:14">
      <c r="A89" s="28" t="s">
        <v>28</v>
      </c>
      <c r="B89" s="28" t="s">
        <v>33</v>
      </c>
      <c r="C89" s="28" t="s">
        <v>8</v>
      </c>
      <c r="D89" s="28">
        <v>1</v>
      </c>
      <c r="E89" s="85">
        <v>5</v>
      </c>
      <c r="F89" s="86">
        <v>0</v>
      </c>
      <c r="G89" s="86">
        <v>0</v>
      </c>
      <c r="H89" s="87">
        <v>53.5</v>
      </c>
      <c r="I89" s="87">
        <v>29.8</v>
      </c>
      <c r="J89" s="87">
        <v>45.9</v>
      </c>
      <c r="K89" s="88">
        <v>129.19999999999999</v>
      </c>
      <c r="L89" s="89">
        <v>0.90654205607476634</v>
      </c>
      <c r="M89" s="89">
        <v>1</v>
      </c>
      <c r="N89" s="89">
        <v>1</v>
      </c>
    </row>
    <row r="90" spans="1:14">
      <c r="A90" s="28" t="s">
        <v>4</v>
      </c>
      <c r="B90" s="28" t="s">
        <v>32</v>
      </c>
      <c r="C90" s="28" t="s">
        <v>8</v>
      </c>
      <c r="D90" s="28">
        <v>1</v>
      </c>
      <c r="E90" s="85">
        <v>6.0999999999999943</v>
      </c>
      <c r="F90" s="86">
        <v>0</v>
      </c>
      <c r="G90" s="86">
        <v>0</v>
      </c>
      <c r="H90" s="87">
        <v>53.5</v>
      </c>
      <c r="I90" s="87">
        <v>29.8</v>
      </c>
      <c r="J90" s="87">
        <v>45.9</v>
      </c>
      <c r="K90" s="88">
        <v>129.19999999999999</v>
      </c>
      <c r="L90" s="89">
        <v>0.88598130841121503</v>
      </c>
      <c r="M90" s="89">
        <v>1</v>
      </c>
      <c r="N90" s="89">
        <v>1</v>
      </c>
    </row>
    <row r="91" spans="1:14">
      <c r="A91" s="28" t="s">
        <v>28</v>
      </c>
      <c r="B91" s="28" t="s">
        <v>32</v>
      </c>
      <c r="C91" s="28" t="s">
        <v>8</v>
      </c>
      <c r="D91" s="28">
        <v>1</v>
      </c>
      <c r="E91" s="85">
        <v>5</v>
      </c>
      <c r="F91" s="86">
        <v>0</v>
      </c>
      <c r="G91" s="86">
        <v>0</v>
      </c>
      <c r="H91" s="87">
        <v>53.5</v>
      </c>
      <c r="I91" s="87">
        <v>29.8</v>
      </c>
      <c r="J91" s="87">
        <v>45.9</v>
      </c>
      <c r="K91" s="88">
        <v>129.19999999999999</v>
      </c>
      <c r="L91" s="89">
        <v>0.90654205607476634</v>
      </c>
      <c r="M91" s="89">
        <v>1</v>
      </c>
      <c r="N91" s="89">
        <v>1</v>
      </c>
    </row>
  </sheetData>
  <autoFilter ref="A1:N91" xr:uid="{6FD1205D-39F0-45AE-8CC9-4A1935D9F4D9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7CA-15F4-45B3-8AD4-E6AF5B021C1E}">
  <dimension ref="A1:M13"/>
  <sheetViews>
    <sheetView workbookViewId="0"/>
  </sheetViews>
  <sheetFormatPr defaultColWidth="11.42578125" defaultRowHeight="15"/>
  <cols>
    <col min="1" max="1" width="30" bestFit="1" customWidth="1"/>
  </cols>
  <sheetData>
    <row r="1" spans="1:13">
      <c r="A1" s="81"/>
      <c r="B1" s="83" t="s">
        <v>4</v>
      </c>
      <c r="C1" s="83" t="s">
        <v>4</v>
      </c>
      <c r="D1" s="83" t="s">
        <v>4</v>
      </c>
      <c r="E1" s="83" t="s">
        <v>4</v>
      </c>
      <c r="F1" s="83" t="s">
        <v>4</v>
      </c>
      <c r="G1" s="83" t="s">
        <v>4</v>
      </c>
      <c r="H1" s="83" t="s">
        <v>28</v>
      </c>
      <c r="I1" s="83" t="s">
        <v>28</v>
      </c>
      <c r="J1" s="83" t="s">
        <v>28</v>
      </c>
      <c r="K1" s="83" t="s">
        <v>28</v>
      </c>
      <c r="L1" s="83" t="s">
        <v>28</v>
      </c>
      <c r="M1" s="83" t="s">
        <v>28</v>
      </c>
    </row>
    <row r="2" spans="1:13">
      <c r="A2" s="81" t="s">
        <v>35</v>
      </c>
      <c r="B2" s="83" t="s">
        <v>5</v>
      </c>
      <c r="C2" s="83" t="s">
        <v>29</v>
      </c>
      <c r="D2" s="83" t="s">
        <v>30</v>
      </c>
      <c r="E2" s="83" t="s">
        <v>31</v>
      </c>
      <c r="F2" s="83" t="s">
        <v>33</v>
      </c>
      <c r="G2" s="83" t="s">
        <v>32</v>
      </c>
      <c r="H2" s="83" t="s">
        <v>5</v>
      </c>
      <c r="I2" s="83" t="s">
        <v>29</v>
      </c>
      <c r="J2" s="83" t="s">
        <v>30</v>
      </c>
      <c r="K2" s="83" t="s">
        <v>31</v>
      </c>
      <c r="L2" s="83" t="s">
        <v>36</v>
      </c>
      <c r="M2" s="83" t="s">
        <v>32</v>
      </c>
    </row>
    <row r="3" spans="1:13">
      <c r="A3" s="82" t="s">
        <v>37</v>
      </c>
      <c r="B3" s="84" t="s">
        <v>38</v>
      </c>
      <c r="C3" s="84" t="s">
        <v>38</v>
      </c>
      <c r="D3" s="84" t="s">
        <v>38</v>
      </c>
      <c r="E3" s="84" t="s">
        <v>38</v>
      </c>
      <c r="F3" s="84" t="s">
        <v>38</v>
      </c>
      <c r="G3" s="84" t="s">
        <v>38</v>
      </c>
      <c r="H3" s="84" t="s">
        <v>38</v>
      </c>
      <c r="I3" s="84" t="s">
        <v>38</v>
      </c>
      <c r="J3" s="84" t="s">
        <v>38</v>
      </c>
      <c r="K3" s="84" t="s">
        <v>38</v>
      </c>
      <c r="L3" s="84" t="s">
        <v>38</v>
      </c>
      <c r="M3" s="84" t="s">
        <v>38</v>
      </c>
    </row>
    <row r="4" spans="1:13">
      <c r="A4" s="71" t="s">
        <v>39</v>
      </c>
      <c r="B4" s="68">
        <v>180.4</v>
      </c>
      <c r="C4" s="68">
        <v>141.4</v>
      </c>
      <c r="D4" s="68">
        <v>102.9</v>
      </c>
      <c r="E4" s="68">
        <v>53.5</v>
      </c>
      <c r="F4" s="68">
        <v>45.300000000000011</v>
      </c>
      <c r="G4" s="68">
        <v>45.300000000000011</v>
      </c>
      <c r="H4" s="68">
        <v>162.4</v>
      </c>
      <c r="I4" s="68">
        <v>111.9</v>
      </c>
      <c r="J4" s="68">
        <v>89.1</v>
      </c>
      <c r="K4" s="68">
        <v>33.200000000000003</v>
      </c>
      <c r="L4" s="68">
        <v>24.700000000000003</v>
      </c>
      <c r="M4" s="68">
        <v>24.700000000000003</v>
      </c>
    </row>
    <row r="5" spans="1:13">
      <c r="A5" s="71" t="s">
        <v>40</v>
      </c>
      <c r="B5" s="68">
        <v>0</v>
      </c>
      <c r="C5" s="68">
        <v>0</v>
      </c>
      <c r="D5" s="68">
        <v>0</v>
      </c>
      <c r="E5" s="68">
        <v>9.1999999999999993</v>
      </c>
      <c r="F5" s="68">
        <v>9.1999999999999993</v>
      </c>
      <c r="G5" s="68">
        <v>9.1999999999999993</v>
      </c>
      <c r="H5" s="68">
        <v>0</v>
      </c>
      <c r="I5" s="68">
        <v>0</v>
      </c>
      <c r="J5" s="68">
        <v>0</v>
      </c>
      <c r="K5" s="68">
        <v>11.2</v>
      </c>
      <c r="L5" s="68">
        <v>11.2</v>
      </c>
      <c r="M5" s="68">
        <v>11.2</v>
      </c>
    </row>
    <row r="6" spans="1:13">
      <c r="A6" s="71" t="s">
        <v>41</v>
      </c>
      <c r="B6" s="68">
        <v>29.8</v>
      </c>
      <c r="C6" s="68">
        <v>29.8</v>
      </c>
      <c r="D6" s="68">
        <v>29.8</v>
      </c>
      <c r="E6" s="68">
        <v>29.8</v>
      </c>
      <c r="F6" s="68">
        <v>29.8</v>
      </c>
      <c r="G6" s="68">
        <v>29.8</v>
      </c>
      <c r="H6" s="68">
        <v>29.8</v>
      </c>
      <c r="I6" s="68">
        <v>29.8</v>
      </c>
      <c r="J6" s="68">
        <v>29.8</v>
      </c>
      <c r="K6" s="68">
        <v>29.8</v>
      </c>
      <c r="L6" s="68">
        <v>29.8</v>
      </c>
      <c r="M6" s="68">
        <v>29.8</v>
      </c>
    </row>
    <row r="7" spans="1:13">
      <c r="A7" s="71" t="s">
        <v>42</v>
      </c>
      <c r="B7" s="68">
        <v>0</v>
      </c>
      <c r="C7" s="68">
        <v>0</v>
      </c>
      <c r="D7" s="68">
        <v>4.4000000000000004</v>
      </c>
      <c r="E7" s="68">
        <v>7.3</v>
      </c>
      <c r="F7" s="68">
        <v>7.3</v>
      </c>
      <c r="G7" s="68">
        <v>7.3</v>
      </c>
      <c r="H7" s="68">
        <v>0</v>
      </c>
      <c r="I7" s="68">
        <v>0</v>
      </c>
      <c r="J7" s="68">
        <v>5.5</v>
      </c>
      <c r="K7" s="68">
        <v>9.1</v>
      </c>
      <c r="L7" s="68">
        <v>9.1</v>
      </c>
      <c r="M7" s="68">
        <v>9.1</v>
      </c>
    </row>
    <row r="8" spans="1:13">
      <c r="A8" s="71" t="s">
        <v>43</v>
      </c>
      <c r="B8" s="68">
        <v>1.2</v>
      </c>
      <c r="C8" s="68">
        <v>1</v>
      </c>
      <c r="D8" s="68">
        <v>0.8</v>
      </c>
      <c r="E8" s="68">
        <v>0.5</v>
      </c>
      <c r="F8" s="68">
        <v>0.5</v>
      </c>
      <c r="G8" s="68">
        <v>0.5</v>
      </c>
      <c r="H8" s="68">
        <v>1.1000000000000001</v>
      </c>
      <c r="I8" s="68">
        <v>0.8</v>
      </c>
      <c r="J8" s="68">
        <v>0.6</v>
      </c>
      <c r="K8" s="68">
        <v>0.3</v>
      </c>
      <c r="L8" s="68">
        <v>0.3</v>
      </c>
      <c r="M8" s="68">
        <v>0.3</v>
      </c>
    </row>
    <row r="9" spans="1:13">
      <c r="A9" s="71" t="s">
        <v>44</v>
      </c>
      <c r="B9" s="68">
        <v>11.4</v>
      </c>
      <c r="C9" s="68">
        <v>11.4</v>
      </c>
      <c r="D9" s="68">
        <v>11.4</v>
      </c>
      <c r="E9" s="68">
        <v>11.4</v>
      </c>
      <c r="F9" s="68">
        <v>11.4</v>
      </c>
      <c r="G9" s="68">
        <v>11.4</v>
      </c>
      <c r="H9" s="68">
        <v>11.4</v>
      </c>
      <c r="I9" s="68">
        <v>11.4</v>
      </c>
      <c r="J9" s="68">
        <v>11.4</v>
      </c>
      <c r="K9" s="68">
        <v>11.4</v>
      </c>
      <c r="L9" s="68">
        <v>11.4</v>
      </c>
      <c r="M9" s="68">
        <v>11.4</v>
      </c>
    </row>
    <row r="10" spans="1:13">
      <c r="A10" s="71" t="s">
        <v>45</v>
      </c>
      <c r="B10" s="68">
        <v>17.5</v>
      </c>
      <c r="C10" s="68">
        <v>17.5</v>
      </c>
      <c r="D10" s="68">
        <v>17.5</v>
      </c>
      <c r="E10" s="68">
        <v>17.5</v>
      </c>
      <c r="F10" s="68">
        <v>17.5</v>
      </c>
      <c r="G10" s="68">
        <v>17.5</v>
      </c>
      <c r="H10" s="68">
        <v>17.5</v>
      </c>
      <c r="I10" s="68">
        <v>17.5</v>
      </c>
      <c r="J10" s="68">
        <v>17.5</v>
      </c>
      <c r="K10" s="68">
        <v>17.5</v>
      </c>
      <c r="L10" s="68">
        <v>17.5</v>
      </c>
      <c r="M10" s="68">
        <v>17.5</v>
      </c>
    </row>
    <row r="11" spans="1:13">
      <c r="A11" s="71" t="s">
        <v>46</v>
      </c>
      <c r="B11" s="68">
        <v>0</v>
      </c>
      <c r="C11" s="68">
        <v>0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</row>
    <row r="12" spans="1:13">
      <c r="A12" s="71" t="s">
        <v>47</v>
      </c>
      <c r="B12" s="68">
        <v>0</v>
      </c>
      <c r="C12" s="68">
        <v>0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</row>
    <row r="13" spans="1:13">
      <c r="A13" s="72" t="s">
        <v>48</v>
      </c>
      <c r="B13" s="69">
        <v>240.2</v>
      </c>
      <c r="C13" s="69">
        <v>201</v>
      </c>
      <c r="D13" s="69">
        <v>166.7</v>
      </c>
      <c r="E13" s="69">
        <v>129.19999999999999</v>
      </c>
      <c r="F13" s="69">
        <v>121.00000000000001</v>
      </c>
      <c r="G13" s="69">
        <v>121.00000000000001</v>
      </c>
      <c r="H13" s="69">
        <v>222.1</v>
      </c>
      <c r="I13" s="69">
        <v>171.4</v>
      </c>
      <c r="J13" s="69">
        <v>153.80000000000001</v>
      </c>
      <c r="K13" s="69">
        <v>112.5</v>
      </c>
      <c r="L13" s="69">
        <v>104</v>
      </c>
      <c r="M13" s="69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B344-8F1E-401D-84EE-BDDDFEA5E466}">
  <dimension ref="A1:N61"/>
  <sheetViews>
    <sheetView topLeftCell="A9" zoomScaleNormal="100" workbookViewId="0">
      <selection activeCell="B44" sqref="B44"/>
    </sheetView>
  </sheetViews>
  <sheetFormatPr defaultColWidth="11.42578125" defaultRowHeight="15"/>
  <cols>
    <col min="2" max="2" width="63.28515625" bestFit="1" customWidth="1"/>
  </cols>
  <sheetData>
    <row r="1" spans="2:14">
      <c r="B1" s="1"/>
    </row>
    <row r="2" spans="2:14">
      <c r="B2" s="1"/>
      <c r="C2" s="73" t="s">
        <v>49</v>
      </c>
      <c r="D2" s="73" t="s">
        <v>50</v>
      </c>
      <c r="E2" s="73" t="s">
        <v>51</v>
      </c>
      <c r="F2" s="73" t="s">
        <v>52</v>
      </c>
      <c r="G2" s="73" t="s">
        <v>53</v>
      </c>
      <c r="H2" s="73" t="s">
        <v>54</v>
      </c>
      <c r="I2" s="73" t="s">
        <v>49</v>
      </c>
      <c r="J2" s="73" t="s">
        <v>50</v>
      </c>
      <c r="K2" s="73" t="s">
        <v>51</v>
      </c>
      <c r="L2" s="73" t="s">
        <v>52</v>
      </c>
      <c r="M2" s="73" t="s">
        <v>53</v>
      </c>
      <c r="N2" s="73" t="s">
        <v>54</v>
      </c>
    </row>
    <row r="3" spans="2:14" ht="15.75" thickBot="1">
      <c r="B3" s="3"/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</row>
    <row r="4" spans="2:14">
      <c r="B4" s="42" t="s">
        <v>37</v>
      </c>
      <c r="C4" s="10" t="s">
        <v>55</v>
      </c>
      <c r="D4" s="10" t="s">
        <v>55</v>
      </c>
      <c r="E4" s="10" t="s">
        <v>55</v>
      </c>
      <c r="F4" s="10" t="s">
        <v>55</v>
      </c>
      <c r="G4" s="10" t="s">
        <v>55</v>
      </c>
      <c r="H4" s="10" t="s">
        <v>55</v>
      </c>
      <c r="I4" s="10" t="s">
        <v>55</v>
      </c>
      <c r="J4" s="10" t="s">
        <v>55</v>
      </c>
      <c r="K4" s="10" t="s">
        <v>55</v>
      </c>
      <c r="L4" s="10" t="s">
        <v>55</v>
      </c>
      <c r="M4" s="10" t="s">
        <v>55</v>
      </c>
      <c r="N4" s="10" t="s">
        <v>55</v>
      </c>
    </row>
    <row r="5" spans="2:14">
      <c r="B5" s="43" t="s">
        <v>39</v>
      </c>
      <c r="C5" s="44">
        <v>28859</v>
      </c>
      <c r="D5" s="45">
        <v>22619</v>
      </c>
      <c r="E5" s="45">
        <v>16463</v>
      </c>
      <c r="F5" s="45">
        <v>8556</v>
      </c>
      <c r="G5" s="45">
        <v>7253</v>
      </c>
      <c r="H5" s="45">
        <v>7253</v>
      </c>
      <c r="I5" s="45">
        <v>146125</v>
      </c>
      <c r="J5" s="45">
        <v>100731</v>
      </c>
      <c r="K5" s="45">
        <v>80202</v>
      </c>
      <c r="L5" s="46">
        <v>29896</v>
      </c>
      <c r="M5" s="45">
        <v>23452</v>
      </c>
      <c r="N5" s="45">
        <v>23452</v>
      </c>
    </row>
    <row r="6" spans="2:14">
      <c r="B6" s="43" t="s">
        <v>40</v>
      </c>
      <c r="C6" s="44">
        <v>0</v>
      </c>
      <c r="D6" s="45">
        <v>0</v>
      </c>
      <c r="E6" s="45">
        <v>0</v>
      </c>
      <c r="F6" s="45">
        <v>1475</v>
      </c>
      <c r="G6" s="45">
        <v>1482</v>
      </c>
      <c r="H6" s="45">
        <v>1482</v>
      </c>
      <c r="I6" s="45">
        <v>0</v>
      </c>
      <c r="J6" s="45">
        <v>0</v>
      </c>
      <c r="K6" s="45">
        <v>0</v>
      </c>
      <c r="L6" s="46">
        <v>10060</v>
      </c>
      <c r="M6" s="45">
        <v>10073</v>
      </c>
      <c r="N6" s="45">
        <v>10073</v>
      </c>
    </row>
    <row r="7" spans="2:14">
      <c r="B7" s="43" t="s">
        <v>41</v>
      </c>
      <c r="C7" s="44">
        <v>4765</v>
      </c>
      <c r="D7" s="45">
        <v>4765</v>
      </c>
      <c r="E7" s="45">
        <v>4765</v>
      </c>
      <c r="F7" s="45">
        <v>4765</v>
      </c>
      <c r="G7" s="45">
        <v>4765</v>
      </c>
      <c r="H7" s="45">
        <v>4765</v>
      </c>
      <c r="I7" s="45">
        <v>26792</v>
      </c>
      <c r="J7" s="45">
        <v>26792</v>
      </c>
      <c r="K7" s="45">
        <v>26792</v>
      </c>
      <c r="L7" s="46">
        <v>26792</v>
      </c>
      <c r="M7" s="45">
        <v>26792</v>
      </c>
      <c r="N7" s="45">
        <v>26792</v>
      </c>
    </row>
    <row r="8" spans="2:14">
      <c r="B8" s="43" t="s">
        <v>42</v>
      </c>
      <c r="C8" s="44">
        <v>0</v>
      </c>
      <c r="D8" s="45">
        <v>0</v>
      </c>
      <c r="E8" s="45">
        <v>701</v>
      </c>
      <c r="F8" s="45">
        <v>1168</v>
      </c>
      <c r="G8" s="45">
        <v>1168</v>
      </c>
      <c r="H8" s="45">
        <v>1168</v>
      </c>
      <c r="I8" s="45">
        <v>0</v>
      </c>
      <c r="J8" s="45">
        <v>0</v>
      </c>
      <c r="K8" s="45">
        <v>4925</v>
      </c>
      <c r="L8" s="46">
        <v>8216</v>
      </c>
      <c r="M8" s="45">
        <v>8216</v>
      </c>
      <c r="N8" s="45">
        <v>8216</v>
      </c>
    </row>
    <row r="9" spans="2:14">
      <c r="B9" s="43" t="s">
        <v>43</v>
      </c>
      <c r="C9" s="44">
        <v>190</v>
      </c>
      <c r="D9" s="45">
        <v>158</v>
      </c>
      <c r="E9" s="45">
        <v>123</v>
      </c>
      <c r="F9" s="45">
        <v>82</v>
      </c>
      <c r="G9" s="45">
        <v>72</v>
      </c>
      <c r="H9" s="45">
        <v>72</v>
      </c>
      <c r="I9" s="45">
        <v>951</v>
      </c>
      <c r="J9" s="45">
        <v>742</v>
      </c>
      <c r="K9" s="45">
        <v>511</v>
      </c>
      <c r="L9" s="46">
        <v>246</v>
      </c>
      <c r="M9" s="45">
        <v>208</v>
      </c>
      <c r="N9" s="45">
        <v>208</v>
      </c>
    </row>
    <row r="10" spans="2:14">
      <c r="B10" s="43" t="s">
        <v>44</v>
      </c>
      <c r="C10" s="44">
        <v>1822</v>
      </c>
      <c r="D10" s="45">
        <v>1822</v>
      </c>
      <c r="E10" s="45">
        <v>1822</v>
      </c>
      <c r="F10" s="45">
        <v>1822</v>
      </c>
      <c r="G10" s="45">
        <v>1822</v>
      </c>
      <c r="H10" s="45">
        <v>1822</v>
      </c>
      <c r="I10" s="45">
        <v>10253</v>
      </c>
      <c r="J10" s="45">
        <v>10253</v>
      </c>
      <c r="K10" s="45">
        <v>10253</v>
      </c>
      <c r="L10" s="46">
        <v>10253</v>
      </c>
      <c r="M10" s="45">
        <v>10253</v>
      </c>
      <c r="N10" s="45">
        <v>10253</v>
      </c>
    </row>
    <row r="11" spans="2:14">
      <c r="B11" s="43" t="s">
        <v>45</v>
      </c>
      <c r="C11" s="44">
        <v>2803</v>
      </c>
      <c r="D11" s="45">
        <v>2803</v>
      </c>
      <c r="E11" s="45">
        <v>2803</v>
      </c>
      <c r="F11" s="45">
        <v>2803</v>
      </c>
      <c r="G11" s="45">
        <v>2803</v>
      </c>
      <c r="H11" s="45">
        <v>2803</v>
      </c>
      <c r="I11" s="45">
        <v>15768</v>
      </c>
      <c r="J11" s="45">
        <v>15768</v>
      </c>
      <c r="K11" s="45">
        <v>15768</v>
      </c>
      <c r="L11" s="46">
        <v>15768</v>
      </c>
      <c r="M11" s="45">
        <v>15768</v>
      </c>
      <c r="N11" s="45">
        <v>15768</v>
      </c>
    </row>
    <row r="12" spans="2:14">
      <c r="B12" s="43" t="s">
        <v>46</v>
      </c>
      <c r="C12" s="44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6">
        <v>0</v>
      </c>
      <c r="M12" s="45">
        <v>0</v>
      </c>
      <c r="N12" s="45">
        <v>0</v>
      </c>
    </row>
    <row r="13" spans="2:14" ht="15.75" thickBot="1">
      <c r="B13" s="43" t="s">
        <v>47</v>
      </c>
      <c r="C13" s="44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6">
        <v>0</v>
      </c>
      <c r="M13" s="45">
        <v>0</v>
      </c>
      <c r="N13" s="45">
        <v>0</v>
      </c>
    </row>
    <row r="14" spans="2:14" ht="15.75" thickBot="1">
      <c r="B14" s="47" t="s">
        <v>48</v>
      </c>
      <c r="C14" s="14">
        <f>SUM(C5:C13)</f>
        <v>38439</v>
      </c>
      <c r="D14" s="14">
        <f>SUM(D5:D13)</f>
        <v>32167</v>
      </c>
      <c r="E14" s="14">
        <f>SUM(E5:E13)</f>
        <v>26677</v>
      </c>
      <c r="F14" s="14">
        <f>SUM(F5:F13)</f>
        <v>20671</v>
      </c>
      <c r="G14" s="10">
        <f>SUM(G6:G13)</f>
        <v>12112</v>
      </c>
      <c r="H14" s="10">
        <f>SUM(H6:H13)</f>
        <v>12112</v>
      </c>
      <c r="I14" s="14">
        <f>SUM(I5:I13)</f>
        <v>199889</v>
      </c>
      <c r="J14" s="14">
        <f>SUM(J5:J13)</f>
        <v>154286</v>
      </c>
      <c r="K14" s="14">
        <f>SUM(K5:K13)</f>
        <v>138451</v>
      </c>
      <c r="L14" s="15">
        <f t="shared" ref="L14" si="0">SUM(L5:L13)</f>
        <v>101231</v>
      </c>
      <c r="M14" s="10">
        <f>SUM(M6:M13)</f>
        <v>71310</v>
      </c>
      <c r="N14" s="10">
        <f>SUM(N6:N13)</f>
        <v>71310</v>
      </c>
    </row>
    <row r="15" spans="2:14">
      <c r="B15" s="48" t="s">
        <v>39</v>
      </c>
      <c r="C15" s="49">
        <f t="shared" ref="C15:K15" si="1">C5+C6</f>
        <v>28859</v>
      </c>
      <c r="D15" s="50">
        <f t="shared" si="1"/>
        <v>22619</v>
      </c>
      <c r="E15" s="50">
        <f t="shared" si="1"/>
        <v>16463</v>
      </c>
      <c r="F15" s="50">
        <f t="shared" si="1"/>
        <v>10031</v>
      </c>
      <c r="G15" s="51">
        <f t="shared" si="1"/>
        <v>8735</v>
      </c>
      <c r="H15" s="51">
        <f t="shared" si="1"/>
        <v>8735</v>
      </c>
      <c r="I15" s="50">
        <f t="shared" si="1"/>
        <v>146125</v>
      </c>
      <c r="J15" s="50">
        <f t="shared" si="1"/>
        <v>100731</v>
      </c>
      <c r="K15" s="50">
        <f t="shared" si="1"/>
        <v>80202</v>
      </c>
      <c r="L15" s="51">
        <f t="shared" ref="L15" si="2">L5+L6</f>
        <v>39956</v>
      </c>
      <c r="M15" s="51">
        <f>M5+M6</f>
        <v>33525</v>
      </c>
      <c r="N15" s="51">
        <f t="shared" ref="N15" si="3">N5+N6</f>
        <v>33525</v>
      </c>
    </row>
    <row r="16" spans="2:14">
      <c r="B16" s="43" t="s">
        <v>2</v>
      </c>
      <c r="C16" s="52">
        <f t="shared" ref="C16:K16" si="4">(C7)</f>
        <v>4765</v>
      </c>
      <c r="D16" s="53">
        <f t="shared" si="4"/>
        <v>4765</v>
      </c>
      <c r="E16" s="53">
        <f t="shared" si="4"/>
        <v>4765</v>
      </c>
      <c r="F16" s="53">
        <f t="shared" si="4"/>
        <v>4765</v>
      </c>
      <c r="G16" s="54">
        <f t="shared" si="4"/>
        <v>4765</v>
      </c>
      <c r="H16" s="54">
        <f t="shared" si="4"/>
        <v>4765</v>
      </c>
      <c r="I16" s="53">
        <f t="shared" si="4"/>
        <v>26792</v>
      </c>
      <c r="J16" s="53">
        <f t="shared" si="4"/>
        <v>26792</v>
      </c>
      <c r="K16" s="53">
        <f t="shared" si="4"/>
        <v>26792</v>
      </c>
      <c r="L16" s="54">
        <f t="shared" ref="L16" si="5">(L7)</f>
        <v>26792</v>
      </c>
      <c r="M16" s="54">
        <f>(M7)</f>
        <v>26792</v>
      </c>
      <c r="N16" s="54">
        <f t="shared" ref="N16" si="6">(N7)</f>
        <v>26792</v>
      </c>
    </row>
    <row r="17" spans="1:14" ht="15.75" thickBot="1">
      <c r="B17" s="43" t="s">
        <v>3</v>
      </c>
      <c r="C17" s="52">
        <f t="shared" ref="C17:K17" si="7">SUM(C9:C13)</f>
        <v>4815</v>
      </c>
      <c r="D17" s="53">
        <f t="shared" si="7"/>
        <v>4783</v>
      </c>
      <c r="E17" s="53">
        <f t="shared" si="7"/>
        <v>4748</v>
      </c>
      <c r="F17" s="53">
        <f t="shared" si="7"/>
        <v>4707</v>
      </c>
      <c r="G17" s="54">
        <f t="shared" si="7"/>
        <v>4697</v>
      </c>
      <c r="H17" s="54">
        <f t="shared" si="7"/>
        <v>4697</v>
      </c>
      <c r="I17" s="53">
        <f t="shared" si="7"/>
        <v>26972</v>
      </c>
      <c r="J17" s="53">
        <f t="shared" si="7"/>
        <v>26763</v>
      </c>
      <c r="K17" s="53">
        <f t="shared" si="7"/>
        <v>26532</v>
      </c>
      <c r="L17" s="54">
        <f t="shared" ref="L17" si="8">SUM(L9:L13)</f>
        <v>26267</v>
      </c>
      <c r="M17" s="54">
        <f>SUM(M9:M13)</f>
        <v>26229</v>
      </c>
      <c r="N17" s="54">
        <f t="shared" ref="N17" si="9">SUM(N9:N13)</f>
        <v>26229</v>
      </c>
    </row>
    <row r="18" spans="1:14" ht="15.75" thickBot="1">
      <c r="B18" s="47" t="s">
        <v>48</v>
      </c>
      <c r="C18" s="55">
        <f t="shared" ref="C18:K18" si="10">SUM(C15:C17)</f>
        <v>38439</v>
      </c>
      <c r="D18" s="56">
        <f t="shared" si="10"/>
        <v>32167</v>
      </c>
      <c r="E18" s="56">
        <f t="shared" si="10"/>
        <v>25976</v>
      </c>
      <c r="F18" s="56">
        <f t="shared" si="10"/>
        <v>19503</v>
      </c>
      <c r="G18" s="57">
        <f t="shared" si="10"/>
        <v>18197</v>
      </c>
      <c r="H18" s="57">
        <f t="shared" si="10"/>
        <v>18197</v>
      </c>
      <c r="I18" s="56">
        <f t="shared" si="10"/>
        <v>199889</v>
      </c>
      <c r="J18" s="56">
        <f t="shared" si="10"/>
        <v>154286</v>
      </c>
      <c r="K18" s="56">
        <f t="shared" si="10"/>
        <v>133526</v>
      </c>
      <c r="L18" s="57">
        <f t="shared" ref="L18" si="11">SUM(L15:L17)</f>
        <v>93015</v>
      </c>
      <c r="M18" s="57">
        <f>SUM(M15:M17)</f>
        <v>86546</v>
      </c>
      <c r="N18" s="57">
        <f t="shared" ref="N18" si="12">SUM(N15:N17)</f>
        <v>86546</v>
      </c>
    </row>
    <row r="19" spans="1:14">
      <c r="B19" s="48" t="s">
        <v>39</v>
      </c>
      <c r="C19" s="58">
        <f t="shared" ref="C19:M19" si="13">C15/C$18</f>
        <v>0.75077395353677256</v>
      </c>
      <c r="D19" s="58">
        <f t="shared" si="13"/>
        <v>0.70317406037243135</v>
      </c>
      <c r="E19" s="58">
        <f t="shared" si="13"/>
        <v>0.63377733292269789</v>
      </c>
      <c r="F19" s="58">
        <f t="shared" si="13"/>
        <v>0.5143311285443265</v>
      </c>
      <c r="G19" s="59">
        <f t="shared" si="13"/>
        <v>0.48002417980985879</v>
      </c>
      <c r="H19" s="59">
        <f t="shared" si="13"/>
        <v>0.48002417980985879</v>
      </c>
      <c r="I19" s="58">
        <f t="shared" si="13"/>
        <v>0.73103072205073816</v>
      </c>
      <c r="J19" s="58">
        <f t="shared" si="13"/>
        <v>0.65288490206499616</v>
      </c>
      <c r="K19" s="58">
        <f t="shared" si="13"/>
        <v>0.60064706499108789</v>
      </c>
      <c r="L19" s="59">
        <f t="shared" si="13"/>
        <v>0.42956512390474655</v>
      </c>
      <c r="M19" s="59">
        <f t="shared" si="13"/>
        <v>0.38736625609502462</v>
      </c>
      <c r="N19" s="59">
        <f t="shared" ref="N19" si="14">N15/N$18</f>
        <v>0.38736625609502462</v>
      </c>
    </row>
    <row r="20" spans="1:14">
      <c r="B20" s="43" t="s">
        <v>2</v>
      </c>
      <c r="C20" s="60">
        <f t="shared" ref="C20:C21" si="15">C16/C$18</f>
        <v>0.12396264210827546</v>
      </c>
      <c r="D20" s="60">
        <f t="shared" ref="D20:M20" si="16">D16/D$18</f>
        <v>0.14813317996704697</v>
      </c>
      <c r="E20" s="60">
        <f t="shared" si="16"/>
        <v>0.18343855866954112</v>
      </c>
      <c r="F20" s="60">
        <f t="shared" si="16"/>
        <v>0.24432138645336615</v>
      </c>
      <c r="G20" s="61">
        <f t="shared" si="16"/>
        <v>0.26185634994779361</v>
      </c>
      <c r="H20" s="61">
        <f t="shared" si="16"/>
        <v>0.26185634994779361</v>
      </c>
      <c r="I20" s="60">
        <f t="shared" si="16"/>
        <v>0.1340343890859427</v>
      </c>
      <c r="J20" s="60">
        <f t="shared" si="16"/>
        <v>0.17365153027494393</v>
      </c>
      <c r="K20" s="60">
        <f t="shared" si="16"/>
        <v>0.20065006066234292</v>
      </c>
      <c r="L20" s="61">
        <f t="shared" si="16"/>
        <v>0.28803956351126164</v>
      </c>
      <c r="M20" s="61">
        <f t="shared" si="16"/>
        <v>0.30956947750329306</v>
      </c>
      <c r="N20" s="61">
        <f t="shared" ref="N20" si="17">N16/N$18</f>
        <v>0.30956947750329306</v>
      </c>
    </row>
    <row r="21" spans="1:14" ht="15.75" thickBot="1">
      <c r="B21" s="43" t="s">
        <v>3</v>
      </c>
      <c r="C21" s="60">
        <f t="shared" si="15"/>
        <v>0.12526340435495201</v>
      </c>
      <c r="D21" s="60">
        <f t="shared" ref="D21:M21" si="18">D17/D$18</f>
        <v>0.14869275966052165</v>
      </c>
      <c r="E21" s="60">
        <f t="shared" si="18"/>
        <v>0.18278410840776102</v>
      </c>
      <c r="F21" s="60">
        <f t="shared" si="18"/>
        <v>0.24134748500230735</v>
      </c>
      <c r="G21" s="61">
        <f t="shared" si="18"/>
        <v>0.25811947024234766</v>
      </c>
      <c r="H21" s="61">
        <f t="shared" si="18"/>
        <v>0.25811947024234766</v>
      </c>
      <c r="I21" s="60">
        <f t="shared" si="18"/>
        <v>0.13493488886331914</v>
      </c>
      <c r="J21" s="60">
        <f t="shared" si="18"/>
        <v>0.17346356766005988</v>
      </c>
      <c r="K21" s="60">
        <f t="shared" si="18"/>
        <v>0.19870287434656922</v>
      </c>
      <c r="L21" s="61">
        <f t="shared" si="18"/>
        <v>0.28239531258399181</v>
      </c>
      <c r="M21" s="61">
        <f t="shared" si="18"/>
        <v>0.30306426640168233</v>
      </c>
      <c r="N21" s="61">
        <f t="shared" ref="N21" si="19">N17/N$18</f>
        <v>0.30306426640168233</v>
      </c>
    </row>
    <row r="22" spans="1:14" ht="15.75" thickBot="1">
      <c r="B22" s="62" t="s">
        <v>56</v>
      </c>
      <c r="C22" s="12">
        <f t="shared" ref="C22:K22" si="20">SUM(C19:C21)</f>
        <v>1</v>
      </c>
      <c r="D22" s="12">
        <f t="shared" si="20"/>
        <v>1</v>
      </c>
      <c r="E22" s="12">
        <f t="shared" si="20"/>
        <v>1</v>
      </c>
      <c r="F22" s="12">
        <f t="shared" si="20"/>
        <v>1</v>
      </c>
      <c r="G22" s="13">
        <f t="shared" si="20"/>
        <v>1</v>
      </c>
      <c r="H22" s="13">
        <f t="shared" si="20"/>
        <v>1</v>
      </c>
      <c r="I22" s="12">
        <f t="shared" si="20"/>
        <v>1</v>
      </c>
      <c r="J22" s="12">
        <f t="shared" si="20"/>
        <v>1</v>
      </c>
      <c r="K22" s="12">
        <f t="shared" si="20"/>
        <v>1</v>
      </c>
      <c r="L22" s="13">
        <f t="shared" ref="L22" si="21">SUM(L19:L21)</f>
        <v>1</v>
      </c>
      <c r="M22" s="13">
        <f>SUM(M19:M21)</f>
        <v>1</v>
      </c>
      <c r="N22" s="13">
        <f t="shared" ref="N22" si="22">SUM(N19:N21)</f>
        <v>1</v>
      </c>
    </row>
    <row r="23" spans="1:14" ht="15.75" thickBot="1">
      <c r="B23" s="16"/>
    </row>
    <row r="24" spans="1:14">
      <c r="A24" s="91" t="s">
        <v>57</v>
      </c>
      <c r="B24" s="48" t="s">
        <v>1</v>
      </c>
      <c r="C24" s="63">
        <f t="shared" ref="C24:N24" si="23">1-(($C$38)*(1-1/$C$37))</f>
        <v>0.67272727272727284</v>
      </c>
      <c r="D24" s="63">
        <f t="shared" si="23"/>
        <v>0.67272727272727284</v>
      </c>
      <c r="E24" s="63">
        <f t="shared" si="23"/>
        <v>0.67272727272727284</v>
      </c>
      <c r="F24" s="63">
        <f t="shared" si="23"/>
        <v>0.67272727272727284</v>
      </c>
      <c r="G24" s="63">
        <f t="shared" si="23"/>
        <v>0.67272727272727284</v>
      </c>
      <c r="H24" s="63">
        <f t="shared" si="23"/>
        <v>0.67272727272727284</v>
      </c>
      <c r="I24" s="63">
        <f t="shared" si="23"/>
        <v>0.67272727272727284</v>
      </c>
      <c r="J24" s="63">
        <f t="shared" si="23"/>
        <v>0.67272727272727284</v>
      </c>
      <c r="K24" s="63">
        <f t="shared" si="23"/>
        <v>0.67272727272727284</v>
      </c>
      <c r="L24" s="63">
        <f t="shared" si="23"/>
        <v>0.67272727272727284</v>
      </c>
      <c r="M24" s="63">
        <f t="shared" si="23"/>
        <v>0.67272727272727284</v>
      </c>
      <c r="N24" s="63">
        <f t="shared" si="23"/>
        <v>0.67272727272727284</v>
      </c>
    </row>
    <row r="25" spans="1:14">
      <c r="A25" s="92"/>
      <c r="B25" s="16" t="s">
        <v>2</v>
      </c>
      <c r="C25" s="64">
        <f t="shared" ref="C25:N25" si="24">1-(($D$38)*(1-1/$D$37))</f>
        <v>1</v>
      </c>
      <c r="D25" s="64">
        <f t="shared" si="24"/>
        <v>1</v>
      </c>
      <c r="E25" s="64">
        <f t="shared" si="24"/>
        <v>1</v>
      </c>
      <c r="F25" s="64">
        <f t="shared" si="24"/>
        <v>1</v>
      </c>
      <c r="G25" s="64">
        <f t="shared" si="24"/>
        <v>1</v>
      </c>
      <c r="H25" s="64">
        <f t="shared" si="24"/>
        <v>1</v>
      </c>
      <c r="I25" s="64">
        <f t="shared" si="24"/>
        <v>1</v>
      </c>
      <c r="J25" s="64">
        <f t="shared" si="24"/>
        <v>1</v>
      </c>
      <c r="K25" s="64">
        <f t="shared" si="24"/>
        <v>1</v>
      </c>
      <c r="L25" s="64">
        <f t="shared" si="24"/>
        <v>1</v>
      </c>
      <c r="M25" s="64">
        <f t="shared" si="24"/>
        <v>1</v>
      </c>
      <c r="N25" s="64">
        <f t="shared" si="24"/>
        <v>1</v>
      </c>
    </row>
    <row r="26" spans="1:14" ht="15.75" thickBot="1">
      <c r="A26" s="92"/>
      <c r="B26" s="17" t="s">
        <v>3</v>
      </c>
      <c r="C26" s="65">
        <f t="shared" ref="C26:N26" si="25">1-(($E$38)*(1-1/$E$37))</f>
        <v>1</v>
      </c>
      <c r="D26" s="65">
        <f t="shared" si="25"/>
        <v>1</v>
      </c>
      <c r="E26" s="65">
        <f t="shared" si="25"/>
        <v>1</v>
      </c>
      <c r="F26" s="65">
        <f t="shared" si="25"/>
        <v>1</v>
      </c>
      <c r="G26" s="65">
        <f t="shared" si="25"/>
        <v>1</v>
      </c>
      <c r="H26" s="65">
        <f t="shared" si="25"/>
        <v>1</v>
      </c>
      <c r="I26" s="65">
        <f t="shared" si="25"/>
        <v>1</v>
      </c>
      <c r="J26" s="65">
        <f t="shared" si="25"/>
        <v>1</v>
      </c>
      <c r="K26" s="65">
        <f t="shared" si="25"/>
        <v>1</v>
      </c>
      <c r="L26" s="65">
        <f t="shared" si="25"/>
        <v>1</v>
      </c>
      <c r="M26" s="65">
        <f t="shared" si="25"/>
        <v>1</v>
      </c>
      <c r="N26" s="65">
        <f t="shared" si="25"/>
        <v>1</v>
      </c>
    </row>
    <row r="27" spans="1:14">
      <c r="A27" s="92" t="s">
        <v>58</v>
      </c>
      <c r="B27" s="48" t="s">
        <v>1</v>
      </c>
      <c r="C27" s="63">
        <f t="shared" ref="C27:N27" si="26">1-(($C$40)*(1-1/$C$39))</f>
        <v>0.52</v>
      </c>
      <c r="D27" s="66">
        <f t="shared" si="26"/>
        <v>0.52</v>
      </c>
      <c r="E27" s="66">
        <f t="shared" si="26"/>
        <v>0.52</v>
      </c>
      <c r="F27" s="66">
        <f t="shared" si="26"/>
        <v>0.52</v>
      </c>
      <c r="G27" s="66">
        <f t="shared" si="26"/>
        <v>0.52</v>
      </c>
      <c r="H27" s="66">
        <f t="shared" si="26"/>
        <v>0.52</v>
      </c>
      <c r="I27" s="66">
        <f t="shared" si="26"/>
        <v>0.52</v>
      </c>
      <c r="J27" s="66">
        <f t="shared" si="26"/>
        <v>0.52</v>
      </c>
      <c r="K27" s="66">
        <f t="shared" si="26"/>
        <v>0.52</v>
      </c>
      <c r="L27" s="66">
        <f t="shared" si="26"/>
        <v>0.52</v>
      </c>
      <c r="M27" s="66">
        <f t="shared" si="26"/>
        <v>0.52</v>
      </c>
      <c r="N27" s="66">
        <f t="shared" si="26"/>
        <v>0.52</v>
      </c>
    </row>
    <row r="28" spans="1:14">
      <c r="A28" s="92"/>
      <c r="B28" s="16" t="s">
        <v>2</v>
      </c>
      <c r="C28" s="64">
        <f t="shared" ref="C28:N28" si="27">1-(($D$40)*(1-1/$D$39))</f>
        <v>0.7</v>
      </c>
      <c r="D28" s="66">
        <f t="shared" si="27"/>
        <v>0.7</v>
      </c>
      <c r="E28" s="66">
        <f t="shared" si="27"/>
        <v>0.7</v>
      </c>
      <c r="F28" s="66">
        <f t="shared" si="27"/>
        <v>0.7</v>
      </c>
      <c r="G28" s="66">
        <f t="shared" si="27"/>
        <v>0.7</v>
      </c>
      <c r="H28" s="66">
        <f t="shared" si="27"/>
        <v>0.7</v>
      </c>
      <c r="I28" s="66">
        <f t="shared" si="27"/>
        <v>0.7</v>
      </c>
      <c r="J28" s="66">
        <f t="shared" si="27"/>
        <v>0.7</v>
      </c>
      <c r="K28" s="66">
        <f t="shared" si="27"/>
        <v>0.7</v>
      </c>
      <c r="L28" s="66">
        <f t="shared" si="27"/>
        <v>0.7</v>
      </c>
      <c r="M28" s="66">
        <f t="shared" si="27"/>
        <v>0.7</v>
      </c>
      <c r="N28" s="66">
        <f t="shared" si="27"/>
        <v>0.7</v>
      </c>
    </row>
    <row r="29" spans="1:14" ht="15.75" thickBot="1">
      <c r="A29" s="92"/>
      <c r="B29" s="17" t="s">
        <v>3</v>
      </c>
      <c r="C29" s="65">
        <f t="shared" ref="C29:N29" si="28">1-(($E$40)*(1-1/$E$39))</f>
        <v>1</v>
      </c>
      <c r="D29" s="67">
        <f t="shared" si="28"/>
        <v>1</v>
      </c>
      <c r="E29" s="67">
        <f t="shared" si="28"/>
        <v>1</v>
      </c>
      <c r="F29" s="67">
        <f t="shared" si="28"/>
        <v>1</v>
      </c>
      <c r="G29" s="67">
        <f t="shared" si="28"/>
        <v>1</v>
      </c>
      <c r="H29" s="67">
        <f t="shared" si="28"/>
        <v>1</v>
      </c>
      <c r="I29" s="67">
        <f t="shared" si="28"/>
        <v>1</v>
      </c>
      <c r="J29" s="67">
        <f t="shared" si="28"/>
        <v>1</v>
      </c>
      <c r="K29" s="67">
        <f t="shared" si="28"/>
        <v>1</v>
      </c>
      <c r="L29" s="67">
        <f t="shared" si="28"/>
        <v>1</v>
      </c>
      <c r="M29" s="67">
        <f t="shared" si="28"/>
        <v>1</v>
      </c>
      <c r="N29" s="67">
        <f t="shared" si="28"/>
        <v>1</v>
      </c>
    </row>
    <row r="30" spans="1:14">
      <c r="A30" s="92" t="s">
        <v>59</v>
      </c>
      <c r="B30" s="48" t="s">
        <v>1</v>
      </c>
      <c r="C30" s="63">
        <f t="shared" ref="C30:N30" si="29">1-(($C$42)*(1-1/$C$41))</f>
        <v>0.3214285714285714</v>
      </c>
      <c r="D30" s="66">
        <f t="shared" si="29"/>
        <v>0.3214285714285714</v>
      </c>
      <c r="E30" s="66">
        <f t="shared" si="29"/>
        <v>0.3214285714285714</v>
      </c>
      <c r="F30" s="66">
        <f t="shared" si="29"/>
        <v>0.3214285714285714</v>
      </c>
      <c r="G30" s="66">
        <f t="shared" si="29"/>
        <v>0.3214285714285714</v>
      </c>
      <c r="H30" s="66">
        <f t="shared" si="29"/>
        <v>0.3214285714285714</v>
      </c>
      <c r="I30" s="66">
        <f t="shared" si="29"/>
        <v>0.3214285714285714</v>
      </c>
      <c r="J30" s="66">
        <f t="shared" si="29"/>
        <v>0.3214285714285714</v>
      </c>
      <c r="K30" s="66">
        <f t="shared" si="29"/>
        <v>0.3214285714285714</v>
      </c>
      <c r="L30" s="66">
        <f t="shared" si="29"/>
        <v>0.3214285714285714</v>
      </c>
      <c r="M30" s="66">
        <f t="shared" si="29"/>
        <v>0.3214285714285714</v>
      </c>
      <c r="N30" s="66">
        <f t="shared" si="29"/>
        <v>0.3214285714285714</v>
      </c>
    </row>
    <row r="31" spans="1:14">
      <c r="A31" s="92"/>
      <c r="B31" s="16" t="s">
        <v>2</v>
      </c>
      <c r="C31" s="64">
        <f t="shared" ref="C31:N31" si="30">1-(($D$42)*(1-1/$D$41))</f>
        <v>0.64</v>
      </c>
      <c r="D31" s="66">
        <f t="shared" si="30"/>
        <v>0.64</v>
      </c>
      <c r="E31" s="66">
        <f t="shared" si="30"/>
        <v>0.64</v>
      </c>
      <c r="F31" s="66">
        <f t="shared" si="30"/>
        <v>0.64</v>
      </c>
      <c r="G31" s="66">
        <f t="shared" si="30"/>
        <v>0.64</v>
      </c>
      <c r="H31" s="66">
        <f t="shared" si="30"/>
        <v>0.64</v>
      </c>
      <c r="I31" s="66">
        <f t="shared" si="30"/>
        <v>0.64</v>
      </c>
      <c r="J31" s="66">
        <f t="shared" si="30"/>
        <v>0.64</v>
      </c>
      <c r="K31" s="66">
        <f t="shared" si="30"/>
        <v>0.64</v>
      </c>
      <c r="L31" s="66">
        <f t="shared" si="30"/>
        <v>0.64</v>
      </c>
      <c r="M31" s="66">
        <f t="shared" si="30"/>
        <v>0.64</v>
      </c>
      <c r="N31" s="66">
        <f t="shared" si="30"/>
        <v>0.64</v>
      </c>
    </row>
    <row r="32" spans="1:14" ht="15.75" thickBot="1">
      <c r="A32" s="93"/>
      <c r="B32" s="17" t="s">
        <v>3</v>
      </c>
      <c r="C32" s="65">
        <f t="shared" ref="C32:N32" si="31">1-(($E$42)*(1-1/$E$41))</f>
        <v>1</v>
      </c>
      <c r="D32" s="67">
        <f t="shared" si="31"/>
        <v>1</v>
      </c>
      <c r="E32" s="67">
        <f t="shared" si="31"/>
        <v>1</v>
      </c>
      <c r="F32" s="67">
        <f t="shared" si="31"/>
        <v>1</v>
      </c>
      <c r="G32" s="67">
        <f t="shared" si="31"/>
        <v>1</v>
      </c>
      <c r="H32" s="67">
        <f t="shared" si="31"/>
        <v>1</v>
      </c>
      <c r="I32" s="67">
        <f t="shared" si="31"/>
        <v>1</v>
      </c>
      <c r="J32" s="67">
        <f t="shared" si="31"/>
        <v>1</v>
      </c>
      <c r="K32" s="67">
        <f t="shared" si="31"/>
        <v>1</v>
      </c>
      <c r="L32" s="67">
        <f t="shared" si="31"/>
        <v>1</v>
      </c>
      <c r="M32" s="67">
        <f t="shared" si="31"/>
        <v>1</v>
      </c>
      <c r="N32" s="67">
        <f t="shared" si="31"/>
        <v>1</v>
      </c>
    </row>
    <row r="33" spans="2:12">
      <c r="C33" s="4"/>
      <c r="D33" s="4"/>
      <c r="E33" s="4"/>
      <c r="F33" s="4"/>
      <c r="I33" s="4"/>
      <c r="J33" s="4"/>
      <c r="K33" s="4"/>
      <c r="L33" s="4"/>
    </row>
    <row r="35" spans="2:12" ht="15.75" thickBot="1"/>
    <row r="36" spans="2:12" ht="15.75" thickBot="1">
      <c r="C36" s="24" t="s">
        <v>1</v>
      </c>
      <c r="D36" s="23" t="s">
        <v>2</v>
      </c>
      <c r="E36" s="25" t="s">
        <v>3</v>
      </c>
    </row>
    <row r="37" spans="2:12">
      <c r="B37" s="19" t="s">
        <v>60</v>
      </c>
      <c r="C37" s="5">
        <v>2.2000000000000002</v>
      </c>
      <c r="D37" s="35">
        <v>1</v>
      </c>
      <c r="E37" s="36">
        <v>1</v>
      </c>
    </row>
    <row r="38" spans="2:12" ht="15.75" thickBot="1">
      <c r="B38" s="7" t="s">
        <v>61</v>
      </c>
      <c r="C38" s="21">
        <v>0.6</v>
      </c>
      <c r="D38" s="1">
        <v>0</v>
      </c>
      <c r="E38" s="6">
        <v>0</v>
      </c>
    </row>
    <row r="39" spans="2:12">
      <c r="B39" s="37" t="s">
        <v>62</v>
      </c>
      <c r="C39" s="38">
        <v>2.5</v>
      </c>
      <c r="D39" s="39">
        <v>2</v>
      </c>
      <c r="E39" s="11">
        <v>1</v>
      </c>
    </row>
    <row r="40" spans="2:12" ht="15.75" thickBot="1">
      <c r="B40" s="17" t="s">
        <v>63</v>
      </c>
      <c r="C40" s="40">
        <v>0.8</v>
      </c>
      <c r="D40" s="41">
        <v>0.6</v>
      </c>
      <c r="E40" s="9">
        <v>0</v>
      </c>
    </row>
    <row r="41" spans="2:12">
      <c r="B41" s="37" t="s">
        <v>64</v>
      </c>
      <c r="C41" s="5">
        <v>3.5</v>
      </c>
      <c r="D41">
        <v>2.5</v>
      </c>
      <c r="E41" s="20">
        <v>1</v>
      </c>
    </row>
    <row r="42" spans="2:12" ht="15.75" thickBot="1">
      <c r="B42" s="17" t="s">
        <v>65</v>
      </c>
      <c r="C42" s="22">
        <v>0.95</v>
      </c>
      <c r="D42" s="8">
        <v>0.6</v>
      </c>
      <c r="E42" s="9">
        <v>0</v>
      </c>
    </row>
    <row r="61" spans="2:2">
      <c r="B61" s="18"/>
    </row>
  </sheetData>
  <mergeCells count="3">
    <mergeCell ref="A24:A26"/>
    <mergeCell ref="A27:A29"/>
    <mergeCell ref="A30:A32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ppdragsdokument" ma:contentTypeID="0x010100852F7EB665441A4AAD910B9FAFC638F600B5CD8ECB96786D44A967B4A0EA4C975E" ma:contentTypeVersion="6" ma:contentTypeDescription="Opprett et nytt dokument." ma:contentTypeScope="" ma:versionID="98e09fe43400717641263abd018399f3">
  <xsd:schema xmlns:xsd="http://www.w3.org/2001/XMLSchema" xmlns:xs="http://www.w3.org/2001/XMLSchema" xmlns:p="http://schemas.microsoft.com/office/2006/metadata/properties" xmlns:ns2="359ba19c-8e00-4589-ba6b-a2e99058d386" xmlns:ns3="e5f61c6d-a371-4a49-ae9e-cdcd384b4e0c" targetNamespace="http://schemas.microsoft.com/office/2006/metadata/properties" ma:root="true" ma:fieldsID="65e38a255380a8fa6c31768f873a465a" ns2:_="" ns3:_="">
    <xsd:import namespace="359ba19c-8e00-4589-ba6b-a2e99058d386"/>
    <xsd:import namespace="e5f61c6d-a371-4a49-ae9e-cdcd384b4e0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hannelName" minOccurs="0"/>
                <xsd:element ref="ns2:Dokumenttema" minOccurs="0"/>
                <xsd:element ref="ns2:Oppdragsnummer" minOccurs="0"/>
                <xsd:element ref="ns2:Revisjon" minOccurs="0"/>
                <xsd:element ref="ns2:RevisjonsDato" minOccurs="0"/>
                <xsd:element ref="ns3:Platform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a19c-8e00-4589-ba6b-a2e99058d3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Fast ID" ma:description="Behold IDen ved tillegging." ma:hidden="true" ma:internalName="_dlc_DocIdPersistId" ma:readOnly="true">
      <xsd:simpleType>
        <xsd:restriction base="dms:Boolean"/>
      </xsd:simpleType>
    </xsd:element>
    <xsd:element name="ChannelName" ma:index="11" nillable="true" ma:displayName="Kanal" ma:internalName="ChannelName" ma:readOnly="true">
      <xsd:simpleType>
        <xsd:restriction base="dms:Text"/>
      </xsd:simpleType>
    </xsd:element>
    <xsd:element name="Dokumenttema" ma:index="12" nillable="true" ma:displayName="Dokumenttema" ma:list="{29c0313d-1560-44b9-b4be-a94c3ca00be3}" ma:internalName="Dokumenttema" ma:showField="Title">
      <xsd:simpleType>
        <xsd:restriction base="dms:Lookup"/>
      </xsd:simpleType>
    </xsd:element>
    <xsd:element name="Oppdragsnummer" ma:index="13" nillable="true" ma:displayName="Oppdragsnummer" ma:internalName="Oppdragsnummer" ma:readOnly="true">
      <xsd:simpleType>
        <xsd:restriction base="dms:Text"/>
      </xsd:simpleType>
    </xsd:element>
    <xsd:element name="Revisjon" ma:index="14" nillable="true" ma:displayName="Revisjon" ma:internalName="Revisjon">
      <xsd:simpleType>
        <xsd:restriction base="dms:Text"/>
      </xsd:simpleType>
    </xsd:element>
    <xsd:element name="RevisjonsDato" ma:index="15" nillable="true" ma:displayName="RevisjonsDato" ma:format="DateOnly" ma:internalName="RevisjonsDa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61c6d-a371-4a49-ae9e-cdcd384b4e0c" elementFormDefault="qualified">
    <xsd:import namespace="http://schemas.microsoft.com/office/2006/documentManagement/types"/>
    <xsd:import namespace="http://schemas.microsoft.com/office/infopath/2007/PartnerControls"/>
    <xsd:element name="Platform" ma:index="16" nillable="true" ma:displayName="Platform" ma:default="BikubeOnline" ma:internalName="Platform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Dokument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tema xmlns="359ba19c-8e00-4589-ba6b-a2e99058d386" xsi:nil="true"/>
    <RevisjonsDato xmlns="359ba19c-8e00-4589-ba6b-a2e99058d386" xsi:nil="true"/>
    <Revisjon xmlns="359ba19c-8e00-4589-ba6b-a2e99058d386" xsi:nil="true"/>
    <_dlc_DocId xmlns="359ba19c-8e00-4589-ba6b-a2e99058d386">PNYWF4WMWJCX-1884181586-25</_dlc_DocId>
    <_dlc_DocIdUrl xmlns="359ba19c-8e00-4589-ba6b-a2e99058d386">
      <Url>https://asplanviak.sharepoint.com/sites/652746-01/_layouts/15/DocIdRedir.aspx?ID=PNYWF4WMWJCX-1884181586-25</Url>
      <Description>PNYWF4WMWJCX-1884181586-25</Description>
    </_dlc_DocIdUrl>
  </documentManagement>
</p:properties>
</file>

<file path=customXml/itemProps1.xml><?xml version="1.0" encoding="utf-8"?>
<ds:datastoreItem xmlns:ds="http://schemas.openxmlformats.org/officeDocument/2006/customXml" ds:itemID="{FA8B31F7-81FC-4CF0-A522-2AA50F85B040}"/>
</file>

<file path=customXml/itemProps2.xml><?xml version="1.0" encoding="utf-8"?>
<ds:datastoreItem xmlns:ds="http://schemas.openxmlformats.org/officeDocument/2006/customXml" ds:itemID="{F3AA22C3-092C-402D-9A17-CB722B9BDFA2}"/>
</file>

<file path=customXml/itemProps3.xml><?xml version="1.0" encoding="utf-8"?>
<ds:datastoreItem xmlns:ds="http://schemas.openxmlformats.org/officeDocument/2006/customXml" ds:itemID="{B35B2294-4D56-4D75-84A4-2E9270506523}"/>
</file>

<file path=customXml/itemProps4.xml><?xml version="1.0" encoding="utf-8"?>
<ds:datastoreItem xmlns:ds="http://schemas.openxmlformats.org/officeDocument/2006/customXml" ds:itemID="{ED3172FC-D63F-4708-9C59-68DCBA784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Vidar Lind Yttersian</dc:creator>
  <cp:keywords/>
  <dc:description/>
  <cp:lastModifiedBy/>
  <cp:revision/>
  <dcterms:created xsi:type="dcterms:W3CDTF">2025-12-18T08:01:28Z</dcterms:created>
  <dcterms:modified xsi:type="dcterms:W3CDTF">2026-01-27T09:28:13Z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0x010100852F7EB665441A4AAD910B9FAFC638F600B5CD8ECB96786D44A967B4A0EA4C975E</vt:lpwstr>
  </property>
  <property fmtid="{D5CDD505-2E9C-101B-9397-08002B2CF9AE}" pid="3" name="_dlc_DocIdItemGuid">
    <vt:lpwstr>830e94ab-66fb-425c-aaed-05fde2c058e9</vt:lpwstr>
  </property>
</Properties>
</file>